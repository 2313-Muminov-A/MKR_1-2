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ДЗ по МСС\"/>
    </mc:Choice>
  </mc:AlternateContent>
  <xr:revisionPtr revIDLastSave="0" documentId="13_ncr:1_{65E9FEC1-B185-4649-BA39-F22F7036AF09}" xr6:coauthVersionLast="46" xr6:coauthVersionMax="46" xr10:uidLastSave="{00000000-0000-0000-0000-000000000000}"/>
  <bookViews>
    <workbookView xWindow="-120" yWindow="-120" windowWidth="20730" windowHeight="11160" activeTab="5" xr2:uid="{DA689355-BD3A-4FDC-9949-B42F2DA4D875}"/>
  </bookViews>
  <sheets>
    <sheet name="1-го рода" sheetId="1" r:id="rId1"/>
    <sheet name="2-го рода" sheetId="2" r:id="rId2"/>
    <sheet name="3-го рода" sheetId="5" r:id="rId3"/>
    <sheet name="4-го рода" sheetId="7" r:id="rId4"/>
    <sheet name="Неявн 1-го рода" sheetId="9" r:id="rId5"/>
    <sheet name="Неяв 2-го рода" sheetId="10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10" l="1"/>
  <c r="G16" i="10" s="1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AC16" i="10"/>
  <c r="AD16" i="10"/>
  <c r="AE16" i="10"/>
  <c r="AF16" i="10"/>
  <c r="AG16" i="10"/>
  <c r="AH16" i="10"/>
  <c r="AI16" i="10"/>
  <c r="G18" i="10"/>
  <c r="H18" i="10" s="1"/>
  <c r="AI17" i="10"/>
  <c r="AH17" i="10"/>
  <c r="AG17" i="10"/>
  <c r="AF17" i="10"/>
  <c r="AE17" i="10"/>
  <c r="AD17" i="10"/>
  <c r="AC17" i="10"/>
  <c r="AB17" i="10"/>
  <c r="AA17" i="10"/>
  <c r="Z17" i="10"/>
  <c r="Y17" i="10"/>
  <c r="X17" i="10"/>
  <c r="W17" i="10"/>
  <c r="V17" i="10"/>
  <c r="U17" i="10"/>
  <c r="T17" i="10"/>
  <c r="S17" i="10"/>
  <c r="R17" i="10"/>
  <c r="Q17" i="10"/>
  <c r="P17" i="10"/>
  <c r="O17" i="10"/>
  <c r="N17" i="10"/>
  <c r="M17" i="10"/>
  <c r="L17" i="10"/>
  <c r="K17" i="10"/>
  <c r="J17" i="10"/>
  <c r="I17" i="10"/>
  <c r="H17" i="10"/>
  <c r="G17" i="10"/>
  <c r="G19" i="10" s="1"/>
  <c r="AJ13" i="10"/>
  <c r="AJ15" i="10" s="1"/>
  <c r="C4" i="10"/>
  <c r="G12" i="10" s="1"/>
  <c r="H12" i="10" s="1"/>
  <c r="I12" i="10" s="1"/>
  <c r="J12" i="10" s="1"/>
  <c r="K12" i="10" s="1"/>
  <c r="L12" i="10" s="1"/>
  <c r="M12" i="10" s="1"/>
  <c r="N12" i="10" s="1"/>
  <c r="O12" i="10" s="1"/>
  <c r="P12" i="10" s="1"/>
  <c r="Q12" i="10" s="1"/>
  <c r="R12" i="10" s="1"/>
  <c r="S12" i="10" s="1"/>
  <c r="T12" i="10" s="1"/>
  <c r="U12" i="10" s="1"/>
  <c r="V12" i="10" s="1"/>
  <c r="W12" i="10" s="1"/>
  <c r="X12" i="10" s="1"/>
  <c r="Y12" i="10" s="1"/>
  <c r="Z12" i="10" s="1"/>
  <c r="AA12" i="10" s="1"/>
  <c r="AB12" i="10" s="1"/>
  <c r="AC12" i="10" s="1"/>
  <c r="AD12" i="10" s="1"/>
  <c r="AE12" i="10" s="1"/>
  <c r="AF12" i="10" s="1"/>
  <c r="AG12" i="10" s="1"/>
  <c r="AH12" i="10" s="1"/>
  <c r="AI12" i="10" s="1"/>
  <c r="AJ12" i="10" s="1"/>
  <c r="F13" i="9"/>
  <c r="G17" i="9"/>
  <c r="G19" i="9" s="1"/>
  <c r="H17" i="9"/>
  <c r="I17" i="9"/>
  <c r="J17" i="9"/>
  <c r="K17" i="9"/>
  <c r="L17" i="9"/>
  <c r="M17" i="9"/>
  <c r="N17" i="9"/>
  <c r="O17" i="9"/>
  <c r="P17" i="9"/>
  <c r="Q17" i="9"/>
  <c r="R17" i="9"/>
  <c r="S17" i="9"/>
  <c r="T17" i="9"/>
  <c r="U17" i="9"/>
  <c r="V17" i="9"/>
  <c r="W17" i="9"/>
  <c r="X17" i="9"/>
  <c r="Y17" i="9"/>
  <c r="Z17" i="9"/>
  <c r="AA17" i="9"/>
  <c r="AB17" i="9"/>
  <c r="AC17" i="9"/>
  <c r="AD17" i="9"/>
  <c r="AE17" i="9"/>
  <c r="AF17" i="9"/>
  <c r="AG17" i="9"/>
  <c r="AH17" i="9"/>
  <c r="AI17" i="9"/>
  <c r="F17" i="9"/>
  <c r="AJ15" i="9"/>
  <c r="G18" i="9"/>
  <c r="H18" i="9" s="1"/>
  <c r="I18" i="9" s="1"/>
  <c r="J18" i="9" s="1"/>
  <c r="K18" i="9" s="1"/>
  <c r="L18" i="9" s="1"/>
  <c r="M18" i="9" s="1"/>
  <c r="N18" i="9" s="1"/>
  <c r="O18" i="9" s="1"/>
  <c r="P18" i="9" s="1"/>
  <c r="Q18" i="9" s="1"/>
  <c r="R18" i="9" s="1"/>
  <c r="S18" i="9" s="1"/>
  <c r="T18" i="9" s="1"/>
  <c r="U18" i="9" s="1"/>
  <c r="V18" i="9" s="1"/>
  <c r="W18" i="9" s="1"/>
  <c r="X18" i="9" s="1"/>
  <c r="Y18" i="9" s="1"/>
  <c r="Z18" i="9" s="1"/>
  <c r="AA18" i="9" s="1"/>
  <c r="AB18" i="9" s="1"/>
  <c r="AC18" i="9" s="1"/>
  <c r="AD18" i="9" s="1"/>
  <c r="AE18" i="9" s="1"/>
  <c r="AF18" i="9" s="1"/>
  <c r="AG18" i="9" s="1"/>
  <c r="AH18" i="9" s="1"/>
  <c r="AI18" i="9" s="1"/>
  <c r="AJ13" i="9"/>
  <c r="G12" i="9"/>
  <c r="H12" i="9" s="1"/>
  <c r="I12" i="9" s="1"/>
  <c r="J12" i="9" s="1"/>
  <c r="K12" i="9" s="1"/>
  <c r="L12" i="9" s="1"/>
  <c r="M12" i="9" s="1"/>
  <c r="N12" i="9" s="1"/>
  <c r="O12" i="9" s="1"/>
  <c r="P12" i="9" s="1"/>
  <c r="Q12" i="9" s="1"/>
  <c r="R12" i="9" s="1"/>
  <c r="S12" i="9" s="1"/>
  <c r="T12" i="9" s="1"/>
  <c r="U12" i="9" s="1"/>
  <c r="V12" i="9" s="1"/>
  <c r="W12" i="9" s="1"/>
  <c r="X12" i="9" s="1"/>
  <c r="Y12" i="9" s="1"/>
  <c r="Z12" i="9" s="1"/>
  <c r="AA12" i="9" s="1"/>
  <c r="AB12" i="9" s="1"/>
  <c r="AC12" i="9" s="1"/>
  <c r="AD12" i="9" s="1"/>
  <c r="AE12" i="9" s="1"/>
  <c r="AF12" i="9" s="1"/>
  <c r="AG12" i="9" s="1"/>
  <c r="AH12" i="9" s="1"/>
  <c r="AI12" i="9" s="1"/>
  <c r="AJ12" i="9" s="1"/>
  <c r="C4" i="9"/>
  <c r="F13" i="5"/>
  <c r="H17" i="5"/>
  <c r="G15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I17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Y16" i="5"/>
  <c r="Z16" i="5"/>
  <c r="AA16" i="5"/>
  <c r="AB16" i="5"/>
  <c r="AC16" i="5"/>
  <c r="AD16" i="5"/>
  <c r="AE16" i="5"/>
  <c r="AF16" i="5"/>
  <c r="AG16" i="5"/>
  <c r="AH16" i="5"/>
  <c r="AI16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Y15" i="5"/>
  <c r="Z15" i="5"/>
  <c r="AA15" i="5"/>
  <c r="AB15" i="5"/>
  <c r="AC15" i="5"/>
  <c r="AD15" i="5"/>
  <c r="AE15" i="5"/>
  <c r="AF15" i="5"/>
  <c r="AG15" i="5"/>
  <c r="AH15" i="5"/>
  <c r="AI15" i="5"/>
  <c r="F17" i="5"/>
  <c r="AJ13" i="5"/>
  <c r="C4" i="5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F13" i="2"/>
  <c r="G16" i="2" s="1"/>
  <c r="AJ13" i="2"/>
  <c r="C4" i="2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AJ12" i="1"/>
  <c r="AJ13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G15" i="1"/>
  <c r="C5" i="1"/>
  <c r="F13" i="1"/>
  <c r="AD12" i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E12" i="1" s="1"/>
  <c r="AF12" i="1" s="1"/>
  <c r="AG12" i="1" s="1"/>
  <c r="AH12" i="1" s="1"/>
  <c r="AI12" i="1" s="1"/>
  <c r="G12" i="1"/>
  <c r="C4" i="1"/>
  <c r="H19" i="10" l="1"/>
  <c r="I19" i="10" s="1"/>
  <c r="F17" i="10"/>
  <c r="I18" i="10"/>
  <c r="H19" i="9"/>
  <c r="I19" i="9" s="1"/>
  <c r="J19" i="9" s="1"/>
  <c r="K19" i="9" s="1"/>
  <c r="L19" i="9" s="1"/>
  <c r="M19" i="9" s="1"/>
  <c r="N19" i="9" s="1"/>
  <c r="O19" i="9" s="1"/>
  <c r="P19" i="9" s="1"/>
  <c r="Q19" i="9" s="1"/>
  <c r="R19" i="9" s="1"/>
  <c r="S19" i="9" s="1"/>
  <c r="T19" i="9" s="1"/>
  <c r="U19" i="9" s="1"/>
  <c r="V19" i="9" s="1"/>
  <c r="W19" i="9" s="1"/>
  <c r="X19" i="9" s="1"/>
  <c r="Y19" i="9" s="1"/>
  <c r="Z19" i="9" s="1"/>
  <c r="AA19" i="9" s="1"/>
  <c r="AB19" i="9" s="1"/>
  <c r="AC19" i="9" s="1"/>
  <c r="AD19" i="9" s="1"/>
  <c r="AE19" i="9" s="1"/>
  <c r="AF19" i="9" s="1"/>
  <c r="AG19" i="9" s="1"/>
  <c r="AH19" i="9" s="1"/>
  <c r="AI19" i="9" s="1"/>
  <c r="C5" i="5"/>
  <c r="G17" i="5"/>
  <c r="G12" i="5"/>
  <c r="H12" i="5" s="1"/>
  <c r="I12" i="5" s="1"/>
  <c r="J12" i="5" s="1"/>
  <c r="K12" i="5" s="1"/>
  <c r="L12" i="5" s="1"/>
  <c r="M12" i="5" s="1"/>
  <c r="N12" i="5" s="1"/>
  <c r="O12" i="5" s="1"/>
  <c r="P12" i="5" s="1"/>
  <c r="Q12" i="5" s="1"/>
  <c r="R12" i="5" s="1"/>
  <c r="S12" i="5" s="1"/>
  <c r="T12" i="5" s="1"/>
  <c r="U12" i="5" s="1"/>
  <c r="V12" i="5" s="1"/>
  <c r="W12" i="5" s="1"/>
  <c r="X12" i="5" s="1"/>
  <c r="Y12" i="5" s="1"/>
  <c r="Z12" i="5" s="1"/>
  <c r="AA12" i="5" s="1"/>
  <c r="AB12" i="5" s="1"/>
  <c r="AC12" i="5" s="1"/>
  <c r="AD12" i="5" s="1"/>
  <c r="AE12" i="5" s="1"/>
  <c r="AF12" i="5" s="1"/>
  <c r="AG12" i="5" s="1"/>
  <c r="AH12" i="5" s="1"/>
  <c r="AI12" i="5" s="1"/>
  <c r="AJ12" i="5" s="1"/>
  <c r="C5" i="2"/>
  <c r="J18" i="10" l="1"/>
  <c r="J19" i="10"/>
  <c r="K19" i="10" s="1"/>
  <c r="AI15" i="9"/>
  <c r="AH15" i="9" s="1"/>
  <c r="AG15" i="9" s="1"/>
  <c r="AF15" i="9" s="1"/>
  <c r="AE15" i="9" s="1"/>
  <c r="AD15" i="9" s="1"/>
  <c r="AC15" i="9" s="1"/>
  <c r="AB15" i="9" s="1"/>
  <c r="AA15" i="9" s="1"/>
  <c r="Z15" i="9" s="1"/>
  <c r="Y15" i="9" s="1"/>
  <c r="X15" i="9" s="1"/>
  <c r="W15" i="9" s="1"/>
  <c r="V15" i="9" s="1"/>
  <c r="U15" i="9" s="1"/>
  <c r="T15" i="9" s="1"/>
  <c r="S15" i="9" s="1"/>
  <c r="R15" i="9" s="1"/>
  <c r="Q15" i="9" s="1"/>
  <c r="P15" i="9" s="1"/>
  <c r="O15" i="9" s="1"/>
  <c r="N15" i="9" s="1"/>
  <c r="M15" i="9" s="1"/>
  <c r="L15" i="9" s="1"/>
  <c r="K15" i="9" s="1"/>
  <c r="J15" i="9" s="1"/>
  <c r="I15" i="9" s="1"/>
  <c r="H15" i="9" s="1"/>
  <c r="G15" i="9" s="1"/>
  <c r="G16" i="5"/>
  <c r="AI15" i="2"/>
  <c r="AE15" i="2"/>
  <c r="AA15" i="2"/>
  <c r="W15" i="2"/>
  <c r="S15" i="2"/>
  <c r="O15" i="2"/>
  <c r="K15" i="2"/>
  <c r="G15" i="2"/>
  <c r="AD15" i="2"/>
  <c r="Z15" i="2"/>
  <c r="V15" i="2"/>
  <c r="R15" i="2"/>
  <c r="N15" i="2"/>
  <c r="J15" i="2"/>
  <c r="AG15" i="2"/>
  <c r="AC15" i="2"/>
  <c r="Y15" i="2"/>
  <c r="U15" i="2"/>
  <c r="M15" i="2"/>
  <c r="I15" i="2"/>
  <c r="AF15" i="2"/>
  <c r="AB15" i="2"/>
  <c r="X15" i="2"/>
  <c r="T15" i="2"/>
  <c r="P15" i="2"/>
  <c r="L15" i="2"/>
  <c r="H15" i="2"/>
  <c r="AH15" i="2"/>
  <c r="Q15" i="2"/>
  <c r="K18" i="10" l="1"/>
  <c r="L18" i="10" l="1"/>
  <c r="L19" i="10"/>
  <c r="M19" i="10" s="1"/>
  <c r="M18" i="10" l="1"/>
  <c r="N18" i="10" l="1"/>
  <c r="N19" i="10"/>
  <c r="O19" i="10" s="1"/>
  <c r="O18" i="10" l="1"/>
  <c r="P18" i="10" l="1"/>
  <c r="P19" i="10"/>
  <c r="Q19" i="10" s="1"/>
  <c r="Q18" i="10" l="1"/>
  <c r="R18" i="10" l="1"/>
  <c r="R19" i="10"/>
  <c r="S19" i="10" s="1"/>
  <c r="S18" i="10" l="1"/>
  <c r="T18" i="10" l="1"/>
  <c r="T19" i="10"/>
  <c r="U19" i="10" s="1"/>
  <c r="U18" i="10" l="1"/>
  <c r="V18" i="10" l="1"/>
  <c r="V19" i="10"/>
  <c r="W19" i="10" s="1"/>
  <c r="W18" i="10" l="1"/>
  <c r="X18" i="10" l="1"/>
  <c r="X19" i="10"/>
  <c r="Y19" i="10" s="1"/>
  <c r="Y18" i="10" l="1"/>
  <c r="Z18" i="10" l="1"/>
  <c r="Z19" i="10"/>
  <c r="AA19" i="10" s="1"/>
  <c r="AA18" i="10" l="1"/>
  <c r="AB19" i="10"/>
  <c r="AB18" i="10" l="1"/>
  <c r="AC18" i="10" l="1"/>
  <c r="AC19" i="10"/>
  <c r="AD19" i="10" s="1"/>
  <c r="AD18" i="10" l="1"/>
  <c r="AE18" i="10" l="1"/>
  <c r="AE19" i="10"/>
  <c r="AF19" i="10" s="1"/>
  <c r="AF18" i="10" l="1"/>
  <c r="AG18" i="10" l="1"/>
  <c r="AG19" i="10"/>
  <c r="AH19" i="10" s="1"/>
  <c r="AH18" i="10" l="1"/>
  <c r="AI18" i="10" l="1"/>
  <c r="AI19" i="10"/>
  <c r="AI15" i="10" l="1"/>
  <c r="AH15" i="10" s="1"/>
  <c r="AG15" i="10" s="1"/>
  <c r="AF15" i="10" s="1"/>
  <c r="AE15" i="10" s="1"/>
  <c r="AD15" i="10" s="1"/>
  <c r="AC15" i="10" s="1"/>
  <c r="AB15" i="10" s="1"/>
  <c r="AA15" i="10" s="1"/>
  <c r="Z15" i="10" s="1"/>
  <c r="Y15" i="10" s="1"/>
  <c r="X15" i="10" s="1"/>
  <c r="W15" i="10" s="1"/>
  <c r="V15" i="10" s="1"/>
  <c r="U15" i="10" s="1"/>
  <c r="T15" i="10" s="1"/>
  <c r="S15" i="10" s="1"/>
  <c r="R15" i="10" s="1"/>
  <c r="Q15" i="10" s="1"/>
  <c r="P15" i="10" s="1"/>
  <c r="O15" i="10" s="1"/>
  <c r="N15" i="10" s="1"/>
  <c r="M15" i="10" s="1"/>
  <c r="L15" i="10" s="1"/>
  <c r="K15" i="10" s="1"/>
  <c r="J15" i="10" s="1"/>
  <c r="I15" i="10" s="1"/>
  <c r="H15" i="10" s="1"/>
  <c r="G15" i="10" s="1"/>
</calcChain>
</file>

<file path=xl/sharedStrings.xml><?xml version="1.0" encoding="utf-8"?>
<sst xmlns="http://schemas.openxmlformats.org/spreadsheetml/2006/main" count="83" uniqueCount="23">
  <si>
    <t>L</t>
  </si>
  <si>
    <t>dx</t>
  </si>
  <si>
    <t>dt</t>
  </si>
  <si>
    <t>t</t>
  </si>
  <si>
    <t>Cp</t>
  </si>
  <si>
    <t>r0</t>
  </si>
  <si>
    <t>lamda</t>
  </si>
  <si>
    <t>T</t>
  </si>
  <si>
    <t>T_start</t>
  </si>
  <si>
    <t>T_end</t>
  </si>
  <si>
    <t>T_iter</t>
  </si>
  <si>
    <t>q</t>
  </si>
  <si>
    <t>q_start</t>
  </si>
  <si>
    <t>T_gas</t>
  </si>
  <si>
    <t>α</t>
  </si>
  <si>
    <r>
      <rPr>
        <sz val="14"/>
        <color theme="1"/>
        <rFont val="Calibri"/>
        <family val="2"/>
        <charset val="204"/>
        <scheme val="minor"/>
      </rPr>
      <t>Не понял как делат</t>
    </r>
    <r>
      <rPr>
        <sz val="11"/>
        <color theme="1"/>
        <rFont val="Calibri"/>
        <family val="2"/>
        <charset val="204"/>
        <scheme val="minor"/>
      </rPr>
      <t>ь</t>
    </r>
  </si>
  <si>
    <t>T_i</t>
  </si>
  <si>
    <t>А</t>
  </si>
  <si>
    <t>В</t>
  </si>
  <si>
    <t>С</t>
  </si>
  <si>
    <t>F</t>
  </si>
  <si>
    <t>alfa</t>
  </si>
  <si>
    <t>betta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</si>
</sst>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4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0" xfId="0" applyFont="1"/>
    <xf numFmtId="0" fontId="1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2" borderId="0" xfId="0" applyFill="1"/>
    <xf numFmtId="0" fontId="0" fillId="0" borderId="1" xfId="0" applyBorder="1"/>
    <xf numFmtId="0" fontId="0" fillId="0" borderId="0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'1-го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'1-го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278.53365565931966</c:v>
                </c:pt>
                <c:pt idx="2">
                  <c:v>257.4625117112634</c:v>
                </c:pt>
                <c:pt idx="3">
                  <c:v>236.39136776320706</c:v>
                </c:pt>
                <c:pt idx="4">
                  <c:v>216.47381324142995</c:v>
                </c:pt>
                <c:pt idx="5">
                  <c:v>196.55625871965279</c:v>
                </c:pt>
                <c:pt idx="6">
                  <c:v>178.45949471502865</c:v>
                </c:pt>
                <c:pt idx="7">
                  <c:v>160.36273071040449</c:v>
                </c:pt>
                <c:pt idx="8">
                  <c:v>144.61697696353923</c:v>
                </c:pt>
                <c:pt idx="9">
                  <c:v>128.87122321667397</c:v>
                </c:pt>
                <c:pt idx="10">
                  <c:v>115.84271905578251</c:v>
                </c:pt>
                <c:pt idx="11">
                  <c:v>102.81421489489109</c:v>
                </c:pt>
                <c:pt idx="12">
                  <c:v>92.698273728027473</c:v>
                </c:pt>
                <c:pt idx="13">
                  <c:v>82.582332561163881</c:v>
                </c:pt>
                <c:pt idx="14">
                  <c:v>75.413722588004646</c:v>
                </c:pt>
                <c:pt idx="15">
                  <c:v>68.245112614845425</c:v>
                </c:pt>
                <c:pt idx="16">
                  <c:v>63.920266762901633</c:v>
                </c:pt>
                <c:pt idx="17">
                  <c:v>59.595420910957841</c:v>
                </c:pt>
                <c:pt idx="18">
                  <c:v>57.900005644224642</c:v>
                </c:pt>
                <c:pt idx="19">
                  <c:v>56.204590377491442</c:v>
                </c:pt>
                <c:pt idx="20">
                  <c:v>56.840751977567592</c:v>
                </c:pt>
                <c:pt idx="21">
                  <c:v>57.476913577643757</c:v>
                </c:pt>
                <c:pt idx="22">
                  <c:v>60.086506392658364</c:v>
                </c:pt>
                <c:pt idx="23">
                  <c:v>62.696099207672972</c:v>
                </c:pt>
                <c:pt idx="24">
                  <c:v>66.87854375210587</c:v>
                </c:pt>
                <c:pt idx="25">
                  <c:v>71.060988296538767</c:v>
                </c:pt>
                <c:pt idx="26">
                  <c:v>76.386318104193577</c:v>
                </c:pt>
                <c:pt idx="27">
                  <c:v>81.711647911848402</c:v>
                </c:pt>
                <c:pt idx="28">
                  <c:v>87.730309225129318</c:v>
                </c:pt>
                <c:pt idx="29">
                  <c:v>93.748970538410248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D5-4278-98A4-B5CFEF7A1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166144"/>
        <c:axId val="585166472"/>
      </c:scatterChart>
      <c:valAx>
        <c:axId val="58516614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5166472"/>
        <c:crosses val="autoZero"/>
        <c:crossBetween val="midCat"/>
      </c:valAx>
      <c:valAx>
        <c:axId val="5851664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5166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'2-го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'2-го рода'!$F$13:$AJ$13</c:f>
              <c:numCache>
                <c:formatCode>General</c:formatCode>
                <c:ptCount val="31"/>
                <c:pt idx="0">
                  <c:v>299.76152995395427</c:v>
                </c:pt>
                <c:pt idx="1">
                  <c:v>293.09486328728758</c:v>
                </c:pt>
                <c:pt idx="2">
                  <c:v>286.42887258987537</c:v>
                </c:pt>
                <c:pt idx="3">
                  <c:v>279.76355594560931</c:v>
                </c:pt>
                <c:pt idx="4">
                  <c:v>273.09890952770422</c:v>
                </c:pt>
                <c:pt idx="5">
                  <c:v>266.43492760954553</c:v>
                </c:pt>
                <c:pt idx="6">
                  <c:v>259.77160258092186</c:v>
                </c:pt>
                <c:pt idx="7">
                  <c:v>253.1089249695971</c:v>
                </c:pt>
                <c:pt idx="8">
                  <c:v>246.44688346816059</c:v>
                </c:pt>
                <c:pt idx="9">
                  <c:v>239.78546496607885</c:v>
                </c:pt>
                <c:pt idx="10">
                  <c:v>233.12465458685932</c:v>
                </c:pt>
                <c:pt idx="11">
                  <c:v>226.46443573021875</c:v>
                </c:pt>
                <c:pt idx="12">
                  <c:v>219.80479011913943</c:v>
                </c:pt>
                <c:pt idx="13">
                  <c:v>213.14569785167603</c:v>
                </c:pt>
                <c:pt idx="14">
                  <c:v>206.4871374573716</c:v>
                </c:pt>
                <c:pt idx="15">
                  <c:v>199.82908595811583</c:v>
                </c:pt>
                <c:pt idx="16">
                  <c:v>193.17151893328128</c:v>
                </c:pt>
                <c:pt idx="17">
                  <c:v>186.51441058894395</c:v>
                </c:pt>
                <c:pt idx="18">
                  <c:v>179.85773383100135</c:v>
                </c:pt>
                <c:pt idx="19">
                  <c:v>173.20146034197114</c:v>
                </c:pt>
                <c:pt idx="20">
                  <c:v>166.54556066126284</c:v>
                </c:pt>
                <c:pt idx="21">
                  <c:v>159.89000426868424</c:v>
                </c:pt>
                <c:pt idx="22">
                  <c:v>153.23475967095703</c:v>
                </c:pt>
                <c:pt idx="23">
                  <c:v>146.57979449098519</c:v>
                </c:pt>
                <c:pt idx="24">
                  <c:v>139.925075559634</c:v>
                </c:pt>
                <c:pt idx="25">
                  <c:v>133.27056900974901</c:v>
                </c:pt>
                <c:pt idx="26">
                  <c:v>126.61624037215859</c:v>
                </c:pt>
                <c:pt idx="27">
                  <c:v>119.96205467337839</c:v>
                </c:pt>
                <c:pt idx="28">
                  <c:v>113.30797653474929</c:v>
                </c:pt>
                <c:pt idx="29">
                  <c:v>106.65397027272058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E9-4FF4-BD25-5F0260F2C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166144"/>
        <c:axId val="585166472"/>
      </c:scatterChart>
      <c:valAx>
        <c:axId val="58516614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5166472"/>
        <c:crosses val="autoZero"/>
        <c:crossBetween val="midCat"/>
        <c:majorUnit val="1.0000000000000002E-2"/>
      </c:valAx>
      <c:valAx>
        <c:axId val="5851664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5166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'3-го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'3-го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293.33330437049057</c:v>
                </c:pt>
                <c:pt idx="2">
                  <c:v>286.66660937388872</c:v>
                </c:pt>
                <c:pt idx="3">
                  <c:v>279.99991437728693</c:v>
                </c:pt>
                <c:pt idx="4">
                  <c:v>273.33322125174681</c:v>
                </c:pt>
                <c:pt idx="5">
                  <c:v>266.66652812620669</c:v>
                </c:pt>
                <c:pt idx="6">
                  <c:v>259.999838028108</c:v>
                </c:pt>
                <c:pt idx="7">
                  <c:v>253.33314793000929</c:v>
                </c:pt>
                <c:pt idx="8">
                  <c:v>246.66646188341807</c:v>
                </c:pt>
                <c:pt idx="9">
                  <c:v>239.99977583682684</c:v>
                </c:pt>
                <c:pt idx="10">
                  <c:v>233.33309468873878</c:v>
                </c:pt>
                <c:pt idx="11">
                  <c:v>226.66641354065072</c:v>
                </c:pt>
                <c:pt idx="12">
                  <c:v>219.99973792397344</c:v>
                </c:pt>
                <c:pt idx="13">
                  <c:v>213.33306230729613</c:v>
                </c:pt>
                <c:pt idx="14">
                  <c:v>206.66639261318801</c:v>
                </c:pt>
                <c:pt idx="15">
                  <c:v>199.99972291907989</c:v>
                </c:pt>
                <c:pt idx="16">
                  <c:v>193.33305927985469</c:v>
                </c:pt>
                <c:pt idx="17">
                  <c:v>186.66639564062945</c:v>
                </c:pt>
                <c:pt idx="18">
                  <c:v>179.99973792397344</c:v>
                </c:pt>
                <c:pt idx="19">
                  <c:v>173.33308020731738</c:v>
                </c:pt>
                <c:pt idx="20">
                  <c:v>166.66642802207213</c:v>
                </c:pt>
                <c:pt idx="21">
                  <c:v>159.99977583682687</c:v>
                </c:pt>
                <c:pt idx="22">
                  <c:v>153.33312855008475</c:v>
                </c:pt>
                <c:pt idx="23">
                  <c:v>146.66648126334263</c:v>
                </c:pt>
                <c:pt idx="24">
                  <c:v>139.99983802810797</c:v>
                </c:pt>
                <c:pt idx="25">
                  <c:v>133.33319479287331</c:v>
                </c:pt>
                <c:pt idx="26">
                  <c:v>126.66655458508009</c:v>
                </c:pt>
                <c:pt idx="27">
                  <c:v>119.99991437728687</c:v>
                </c:pt>
                <c:pt idx="28">
                  <c:v>113.33327604055539</c:v>
                </c:pt>
                <c:pt idx="29">
                  <c:v>106.66663770382388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4C-4E0F-A5EF-E62B6B93F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166144"/>
        <c:axId val="585166472"/>
      </c:scatterChart>
      <c:valAx>
        <c:axId val="58516614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5166472"/>
        <c:crosses val="autoZero"/>
        <c:crossBetween val="midCat"/>
        <c:majorUnit val="1.0000000000000002E-2"/>
      </c:valAx>
      <c:valAx>
        <c:axId val="5851664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5166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'Неявн 1-го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 1-го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280.08693913290779</c:v>
                </c:pt>
                <c:pt idx="2">
                  <c:v>260.34528884307161</c:v>
                </c:pt>
                <c:pt idx="3">
                  <c:v>240.94322870396994</c:v>
                </c:pt>
                <c:pt idx="4">
                  <c:v>222.04259121089382</c:v>
                </c:pt>
                <c:pt idx="5">
                  <c:v>203.79596876432686</c:v>
                </c:pt>
                <c:pt idx="6">
                  <c:v>186.34413876917324</c:v>
                </c:pt>
                <c:pt idx="7">
                  <c:v>169.81388358198322</c:v>
                </c:pt>
                <c:pt idx="8">
                  <c:v>154.31625985996382</c:v>
                </c:pt>
                <c:pt idx="9">
                  <c:v>139.94534749959735</c:v>
                </c:pt>
                <c:pt idx="10">
                  <c:v>126.77748357718227</c:v>
                </c:pt>
                <c:pt idx="11">
                  <c:v>114.87096325508259</c:v>
                </c:pt>
                <c:pt idx="12">
                  <c:v>104.26616904525943</c:v>
                </c:pt>
                <c:pt idx="13">
                  <c:v>94.986073365012601</c:v>
                </c:pt>
                <c:pt idx="14">
                  <c:v>87.037047818685522</c:v>
                </c:pt>
                <c:pt idx="15">
                  <c:v>80.409906485303992</c:v>
                </c:pt>
                <c:pt idx="16">
                  <c:v>75.081109624202767</c:v>
                </c:pt>
                <c:pt idx="17">
                  <c:v>71.014058149603613</c:v>
                </c:pt>
                <c:pt idx="18">
                  <c:v>68.160417145848754</c:v>
                </c:pt>
                <c:pt idx="19">
                  <c:v>66.46141752495555</c:v>
                </c:pt>
                <c:pt idx="20">
                  <c:v>65.849097461430532</c:v>
                </c:pt>
                <c:pt idx="21">
                  <c:v>66.247458255201678</c:v>
                </c:pt>
                <c:pt idx="22">
                  <c:v>67.57352164822106</c:v>
                </c:pt>
                <c:pt idx="23">
                  <c:v>69.738286421168993</c:v>
                </c:pt>
                <c:pt idx="24">
                  <c:v>72.647590652214689</c:v>
                </c:pt>
                <c:pt idx="25">
                  <c:v>76.202891959403246</c:v>
                </c:pt>
                <c:pt idx="26">
                  <c:v>80.301981310525889</c:v>
                </c:pt>
                <c:pt idx="27">
                  <c:v>84.839646794335977</c:v>
                </c:pt>
                <c:pt idx="28">
                  <c:v>89.708302566510795</c:v>
                </c:pt>
                <c:pt idx="29">
                  <c:v>94.798595640747052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31-4BD1-814F-FBBB4BCDD8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166144"/>
        <c:axId val="585166472"/>
      </c:scatterChart>
      <c:valAx>
        <c:axId val="58516614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5166472"/>
        <c:crosses val="autoZero"/>
        <c:crossBetween val="midCat"/>
      </c:valAx>
      <c:valAx>
        <c:axId val="585166472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5166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'Неяв 2-го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 2-го рода'!$F$13:$AJ$13</c:f>
              <c:numCache>
                <c:formatCode>General</c:formatCode>
                <c:ptCount val="31"/>
                <c:pt idx="0">
                  <c:v>299.99999999999966</c:v>
                </c:pt>
                <c:pt idx="1">
                  <c:v>293.33333333333297</c:v>
                </c:pt>
                <c:pt idx="2">
                  <c:v>286.66666666666606</c:v>
                </c:pt>
                <c:pt idx="3">
                  <c:v>279.99999999999915</c:v>
                </c:pt>
                <c:pt idx="4">
                  <c:v>273.33333333333223</c:v>
                </c:pt>
                <c:pt idx="5">
                  <c:v>266.66666666666538</c:v>
                </c:pt>
                <c:pt idx="6">
                  <c:v>259.99999999999864</c:v>
                </c:pt>
                <c:pt idx="7">
                  <c:v>253.33333333333195</c:v>
                </c:pt>
                <c:pt idx="8">
                  <c:v>246.66666666666526</c:v>
                </c:pt>
                <c:pt idx="9">
                  <c:v>239.99999999999852</c:v>
                </c:pt>
                <c:pt idx="10">
                  <c:v>233.33333333333184</c:v>
                </c:pt>
                <c:pt idx="11">
                  <c:v>226.66666666666509</c:v>
                </c:pt>
                <c:pt idx="12">
                  <c:v>219.99999999999841</c:v>
                </c:pt>
                <c:pt idx="13">
                  <c:v>213.33333333333172</c:v>
                </c:pt>
                <c:pt idx="14">
                  <c:v>206.66666666666509</c:v>
                </c:pt>
                <c:pt idx="15">
                  <c:v>199.99999999999841</c:v>
                </c:pt>
                <c:pt idx="16">
                  <c:v>193.33333333333178</c:v>
                </c:pt>
                <c:pt idx="17">
                  <c:v>186.66666666666515</c:v>
                </c:pt>
                <c:pt idx="18">
                  <c:v>179.99999999999855</c:v>
                </c:pt>
                <c:pt idx="19">
                  <c:v>173.33333333333195</c:v>
                </c:pt>
                <c:pt idx="20">
                  <c:v>166.66666666666538</c:v>
                </c:pt>
                <c:pt idx="21">
                  <c:v>159.99999999999881</c:v>
                </c:pt>
                <c:pt idx="22">
                  <c:v>153.33333333333223</c:v>
                </c:pt>
                <c:pt idx="23">
                  <c:v>146.66666666666566</c:v>
                </c:pt>
                <c:pt idx="24">
                  <c:v>139.99999999999909</c:v>
                </c:pt>
                <c:pt idx="25">
                  <c:v>133.33333333333252</c:v>
                </c:pt>
                <c:pt idx="26">
                  <c:v>126.66666666666598</c:v>
                </c:pt>
                <c:pt idx="27">
                  <c:v>119.99999999999946</c:v>
                </c:pt>
                <c:pt idx="28">
                  <c:v>113.33333333333296</c:v>
                </c:pt>
                <c:pt idx="29">
                  <c:v>106.66666666666647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14-40DF-A9CE-B3DA45583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166144"/>
        <c:axId val="585166472"/>
      </c:scatterChart>
      <c:valAx>
        <c:axId val="58516614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5166472"/>
        <c:crosses val="autoZero"/>
        <c:crossBetween val="midCat"/>
      </c:valAx>
      <c:valAx>
        <c:axId val="585166472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5166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340178</xdr:colOff>
      <xdr:row>17</xdr:row>
      <xdr:rowOff>23132</xdr:rowOff>
    </xdr:from>
    <xdr:to>
      <xdr:col>18</xdr:col>
      <xdr:colOff>68035</xdr:colOff>
      <xdr:row>37</xdr:row>
      <xdr:rowOff>163286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606CE5E-FE0C-4678-B5D1-93748530FF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367394</xdr:colOff>
      <xdr:row>17</xdr:row>
      <xdr:rowOff>83003</xdr:rowOff>
    </xdr:from>
    <xdr:ext cx="748392" cy="325211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8F123F6-0E6F-42CF-91C5-17B1B5EF310E}"/>
            </a:ext>
          </a:extLst>
        </xdr:cNvPr>
        <xdr:cNvSpPr txBox="1"/>
      </xdr:nvSpPr>
      <xdr:spPr>
        <a:xfrm>
          <a:off x="3918858" y="3321503"/>
          <a:ext cx="748392" cy="3252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</a:t>
          </a:r>
          <a:r>
            <a:rPr lang="en-US" sz="1800" b="1" baseline="0"/>
            <a:t> [C]</a:t>
          </a:r>
          <a:endParaRPr lang="ru-RU" sz="1800" b="1"/>
        </a:p>
      </xdr:txBody>
    </xdr:sp>
    <xdr:clientData/>
  </xdr:oneCellAnchor>
  <xdr:oneCellAnchor>
    <xdr:from>
      <xdr:col>16</xdr:col>
      <xdr:colOff>424544</xdr:colOff>
      <xdr:row>36</xdr:row>
      <xdr:rowOff>44903</xdr:rowOff>
    </xdr:from>
    <xdr:ext cx="748392" cy="325211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8286228-8D0A-4E5A-AD24-DD5ABC8747D1}"/>
            </a:ext>
          </a:extLst>
        </xdr:cNvPr>
        <xdr:cNvSpPr txBox="1"/>
      </xdr:nvSpPr>
      <xdr:spPr>
        <a:xfrm>
          <a:off x="8874580" y="6902903"/>
          <a:ext cx="748392" cy="3252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L,</a:t>
          </a:r>
          <a:r>
            <a:rPr lang="en-US" sz="1800" b="1" baseline="0"/>
            <a:t> [m]</a:t>
          </a:r>
          <a:endParaRPr lang="ru-RU" sz="18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340178</xdr:colOff>
      <xdr:row>17</xdr:row>
      <xdr:rowOff>23132</xdr:rowOff>
    </xdr:from>
    <xdr:to>
      <xdr:col>18</xdr:col>
      <xdr:colOff>68035</xdr:colOff>
      <xdr:row>37</xdr:row>
      <xdr:rowOff>163286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9558D6F6-6A73-4C85-B9CF-7F6B908240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367394</xdr:colOff>
      <xdr:row>17</xdr:row>
      <xdr:rowOff>83003</xdr:rowOff>
    </xdr:from>
    <xdr:ext cx="748392" cy="32521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9F58946-5CE1-43F9-98C1-7B56CBFAFCFB}"/>
            </a:ext>
          </a:extLst>
        </xdr:cNvPr>
        <xdr:cNvSpPr txBox="1"/>
      </xdr:nvSpPr>
      <xdr:spPr>
        <a:xfrm>
          <a:off x="3910694" y="3321503"/>
          <a:ext cx="748392" cy="3252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</a:t>
          </a:r>
          <a:r>
            <a:rPr lang="en-US" sz="1800" b="1" baseline="0"/>
            <a:t> [C]</a:t>
          </a:r>
          <a:endParaRPr lang="ru-RU" sz="1800" b="1"/>
        </a:p>
      </xdr:txBody>
    </xdr:sp>
    <xdr:clientData/>
  </xdr:oneCellAnchor>
  <xdr:oneCellAnchor>
    <xdr:from>
      <xdr:col>16</xdr:col>
      <xdr:colOff>174624</xdr:colOff>
      <xdr:row>35</xdr:row>
      <xdr:rowOff>174625</xdr:rowOff>
    </xdr:from>
    <xdr:ext cx="952501" cy="34925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3D70099-EB3C-4DB9-955D-C7FD2F304EB2}"/>
            </a:ext>
          </a:extLst>
        </xdr:cNvPr>
        <xdr:cNvSpPr txBox="1"/>
      </xdr:nvSpPr>
      <xdr:spPr>
        <a:xfrm>
          <a:off x="9826624" y="6842125"/>
          <a:ext cx="952501" cy="34925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2000" b="1"/>
            <a:t>L,</a:t>
          </a:r>
          <a:r>
            <a:rPr lang="en-US" sz="2000" b="1" baseline="0"/>
            <a:t> [m]</a:t>
          </a:r>
          <a:endParaRPr lang="ru-RU" sz="2000" b="1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308428</xdr:colOff>
      <xdr:row>18</xdr:row>
      <xdr:rowOff>166007</xdr:rowOff>
    </xdr:from>
    <xdr:to>
      <xdr:col>18</xdr:col>
      <xdr:colOff>36285</xdr:colOff>
      <xdr:row>39</xdr:row>
      <xdr:rowOff>115661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13C2A534-DD4D-4475-B83B-45F9A9672B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335644</xdr:colOff>
      <xdr:row>19</xdr:row>
      <xdr:rowOff>35378</xdr:rowOff>
    </xdr:from>
    <xdr:ext cx="748392" cy="325211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2163CBB0-D82D-42AD-A84E-1F44C074B66C}"/>
            </a:ext>
          </a:extLst>
        </xdr:cNvPr>
        <xdr:cNvSpPr txBox="1"/>
      </xdr:nvSpPr>
      <xdr:spPr>
        <a:xfrm>
          <a:off x="3955144" y="3654878"/>
          <a:ext cx="748392" cy="3252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</a:t>
          </a:r>
          <a:r>
            <a:rPr lang="en-US" sz="1800" b="1" baseline="0"/>
            <a:t> [C]</a:t>
          </a:r>
          <a:endParaRPr lang="ru-RU" sz="1800" b="1"/>
        </a:p>
      </xdr:txBody>
    </xdr:sp>
    <xdr:clientData/>
  </xdr:oneCellAnchor>
  <xdr:oneCellAnchor>
    <xdr:from>
      <xdr:col>16</xdr:col>
      <xdr:colOff>126999</xdr:colOff>
      <xdr:row>37</xdr:row>
      <xdr:rowOff>79375</xdr:rowOff>
    </xdr:from>
    <xdr:ext cx="952501" cy="34925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7F13B9E3-2380-4104-AC25-794EDAE877D5}"/>
            </a:ext>
          </a:extLst>
        </xdr:cNvPr>
        <xdr:cNvSpPr txBox="1"/>
      </xdr:nvSpPr>
      <xdr:spPr>
        <a:xfrm>
          <a:off x="9778999" y="7127875"/>
          <a:ext cx="952501" cy="34925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2000" b="1"/>
            <a:t>L,</a:t>
          </a:r>
          <a:r>
            <a:rPr lang="en-US" sz="2000" b="1" baseline="0"/>
            <a:t> [m]</a:t>
          </a:r>
          <a:endParaRPr lang="ru-RU" sz="2000" b="1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244928</xdr:colOff>
      <xdr:row>25</xdr:row>
      <xdr:rowOff>54882</xdr:rowOff>
    </xdr:from>
    <xdr:to>
      <xdr:col>18</xdr:col>
      <xdr:colOff>576035</xdr:colOff>
      <xdr:row>46</xdr:row>
      <xdr:rowOff>4536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475F6BB-5ECA-49F0-8841-212EC4608A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319769</xdr:colOff>
      <xdr:row>25</xdr:row>
      <xdr:rowOff>114753</xdr:rowOff>
    </xdr:from>
    <xdr:ext cx="748392" cy="32521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C7520CA-179E-4DE6-96CE-E24E01BC00D5}"/>
            </a:ext>
          </a:extLst>
        </xdr:cNvPr>
        <xdr:cNvSpPr txBox="1"/>
      </xdr:nvSpPr>
      <xdr:spPr>
        <a:xfrm>
          <a:off x="4542519" y="4877253"/>
          <a:ext cx="748392" cy="3252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</a:t>
          </a:r>
          <a:r>
            <a:rPr lang="en-US" sz="1800" b="1" baseline="0"/>
            <a:t> [C]</a:t>
          </a:r>
          <a:endParaRPr lang="ru-RU" sz="1800" b="1"/>
        </a:p>
      </xdr:txBody>
    </xdr:sp>
    <xdr:clientData/>
  </xdr:oneCellAnchor>
  <xdr:oneCellAnchor>
    <xdr:from>
      <xdr:col>17</xdr:col>
      <xdr:colOff>249919</xdr:colOff>
      <xdr:row>44</xdr:row>
      <xdr:rowOff>76653</xdr:rowOff>
    </xdr:from>
    <xdr:ext cx="748392" cy="325211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3323933-9292-4F2F-9484-1673289F6A58}"/>
            </a:ext>
          </a:extLst>
        </xdr:cNvPr>
        <xdr:cNvSpPr txBox="1"/>
      </xdr:nvSpPr>
      <xdr:spPr>
        <a:xfrm>
          <a:off x="10505169" y="8458653"/>
          <a:ext cx="748392" cy="3252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L,</a:t>
          </a:r>
          <a:r>
            <a:rPr lang="en-US" sz="1800" b="1" baseline="0"/>
            <a:t> [m]</a:t>
          </a:r>
          <a:endParaRPr lang="ru-RU" sz="1800" b="1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244928</xdr:colOff>
      <xdr:row>25</xdr:row>
      <xdr:rowOff>54882</xdr:rowOff>
    </xdr:from>
    <xdr:to>
      <xdr:col>18</xdr:col>
      <xdr:colOff>576035</xdr:colOff>
      <xdr:row>46</xdr:row>
      <xdr:rowOff>4536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A28053D5-E9DB-4853-88CC-1FEEA5AF08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319769</xdr:colOff>
      <xdr:row>25</xdr:row>
      <xdr:rowOff>114753</xdr:rowOff>
    </xdr:from>
    <xdr:ext cx="748392" cy="325211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B0F0E53C-8FFD-4F37-95CF-5D493159AC9F}"/>
            </a:ext>
          </a:extLst>
        </xdr:cNvPr>
        <xdr:cNvSpPr txBox="1"/>
      </xdr:nvSpPr>
      <xdr:spPr>
        <a:xfrm>
          <a:off x="5044169" y="4877253"/>
          <a:ext cx="748392" cy="3252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</a:t>
          </a:r>
          <a:r>
            <a:rPr lang="en-US" sz="1800" b="1" baseline="0"/>
            <a:t> [C]</a:t>
          </a:r>
          <a:endParaRPr lang="ru-RU" sz="1800" b="1"/>
        </a:p>
      </xdr:txBody>
    </xdr:sp>
    <xdr:clientData/>
  </xdr:oneCellAnchor>
  <xdr:oneCellAnchor>
    <xdr:from>
      <xdr:col>17</xdr:col>
      <xdr:colOff>249919</xdr:colOff>
      <xdr:row>44</xdr:row>
      <xdr:rowOff>76653</xdr:rowOff>
    </xdr:from>
    <xdr:ext cx="748392" cy="325211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F44DAEFB-E31F-400D-A00A-60D2ED24E800}"/>
            </a:ext>
          </a:extLst>
        </xdr:cNvPr>
        <xdr:cNvSpPr txBox="1"/>
      </xdr:nvSpPr>
      <xdr:spPr>
        <a:xfrm>
          <a:off x="11070319" y="8458653"/>
          <a:ext cx="748392" cy="3252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L,</a:t>
          </a:r>
          <a:r>
            <a:rPr lang="en-US" sz="1800" b="1" baseline="0"/>
            <a:t> [m]</a:t>
          </a:r>
          <a:endParaRPr lang="ru-RU" sz="1800" b="1"/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CF677-50FF-4F0C-A142-2D644C734165}">
  <sheetPr codeName="Лист1"/>
  <dimension ref="B3:AJ15"/>
  <sheetViews>
    <sheetView zoomScale="70" zoomScaleNormal="70" workbookViewId="0">
      <selection sqref="A1:AJ38"/>
    </sheetView>
  </sheetViews>
  <sheetFormatPr defaultRowHeight="15" x14ac:dyDescent="0.25"/>
  <cols>
    <col min="6" max="36" width="7.42578125" customWidth="1"/>
  </cols>
  <sheetData>
    <row r="3" spans="2:36" x14ac:dyDescent="0.25">
      <c r="B3" s="2" t="s">
        <v>0</v>
      </c>
      <c r="C3" s="2">
        <v>0.1</v>
      </c>
    </row>
    <row r="4" spans="2:36" x14ac:dyDescent="0.25">
      <c r="B4" s="2" t="s">
        <v>1</v>
      </c>
      <c r="C4" s="4">
        <f>C3/30</f>
        <v>3.3333333333333335E-3</v>
      </c>
    </row>
    <row r="5" spans="2:36" x14ac:dyDescent="0.25">
      <c r="B5" s="2" t="s">
        <v>2</v>
      </c>
      <c r="C5" s="4">
        <f>(C9*C8*C4^2)/(2*C10)</f>
        <v>0.4333333333333334</v>
      </c>
    </row>
    <row r="6" spans="2:36" x14ac:dyDescent="0.25">
      <c r="B6" s="2" t="s">
        <v>3</v>
      </c>
      <c r="C6" s="2">
        <v>120</v>
      </c>
      <c r="D6">
        <v>120.43333333333334</v>
      </c>
    </row>
    <row r="8" spans="2:36" x14ac:dyDescent="0.25">
      <c r="B8" s="2" t="s">
        <v>4</v>
      </c>
      <c r="C8" s="2">
        <v>460</v>
      </c>
    </row>
    <row r="9" spans="2:36" x14ac:dyDescent="0.25">
      <c r="B9" s="2" t="s">
        <v>5</v>
      </c>
      <c r="C9" s="2">
        <v>7800</v>
      </c>
    </row>
    <row r="10" spans="2:36" x14ac:dyDescent="0.25">
      <c r="B10" s="2" t="s">
        <v>6</v>
      </c>
      <c r="C10" s="2">
        <v>46</v>
      </c>
    </row>
    <row r="11" spans="2:36" x14ac:dyDescent="0.25"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2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>AC12+$C$4</f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2" t="s">
        <v>9</v>
      </c>
      <c r="C13" s="2">
        <v>100</v>
      </c>
      <c r="E13" t="s">
        <v>7</v>
      </c>
      <c r="F13" s="1">
        <f>C12</f>
        <v>300</v>
      </c>
      <c r="G13" s="1">
        <v>278.53365565931966</v>
      </c>
      <c r="H13" s="1">
        <v>257.4625117112634</v>
      </c>
      <c r="I13" s="1">
        <v>236.39136776320706</v>
      </c>
      <c r="J13" s="1">
        <v>216.47381324142995</v>
      </c>
      <c r="K13" s="1">
        <v>196.55625871965279</v>
      </c>
      <c r="L13" s="1">
        <v>178.45949471502865</v>
      </c>
      <c r="M13" s="1">
        <v>160.36273071040449</v>
      </c>
      <c r="N13" s="1">
        <v>144.61697696353923</v>
      </c>
      <c r="O13" s="1">
        <v>128.87122321667397</v>
      </c>
      <c r="P13" s="1">
        <v>115.84271905578251</v>
      </c>
      <c r="Q13" s="1">
        <v>102.81421489489109</v>
      </c>
      <c r="R13" s="1">
        <v>92.698273728027473</v>
      </c>
      <c r="S13" s="1">
        <v>82.582332561163881</v>
      </c>
      <c r="T13" s="1">
        <v>75.413722588004646</v>
      </c>
      <c r="U13" s="1">
        <v>68.245112614845425</v>
      </c>
      <c r="V13" s="1">
        <v>63.920266762901633</v>
      </c>
      <c r="W13" s="1">
        <v>59.595420910957841</v>
      </c>
      <c r="X13" s="1">
        <v>57.900005644224642</v>
      </c>
      <c r="Y13" s="1">
        <v>56.204590377491442</v>
      </c>
      <c r="Z13" s="1">
        <v>56.840751977567592</v>
      </c>
      <c r="AA13" s="1">
        <v>57.476913577643757</v>
      </c>
      <c r="AB13" s="1">
        <v>60.086506392658364</v>
      </c>
      <c r="AC13" s="1">
        <v>62.696099207672972</v>
      </c>
      <c r="AD13" s="1">
        <v>66.87854375210587</v>
      </c>
      <c r="AE13" s="1">
        <v>71.060988296538767</v>
      </c>
      <c r="AF13" s="1">
        <v>76.386318104193577</v>
      </c>
      <c r="AG13" s="1">
        <v>81.711647911848402</v>
      </c>
      <c r="AH13" s="1">
        <v>87.730309225129318</v>
      </c>
      <c r="AI13" s="1">
        <v>93.748970538410248</v>
      </c>
      <c r="AJ13" s="1">
        <f>C13</f>
        <v>100</v>
      </c>
    </row>
    <row r="15" spans="2:36" x14ac:dyDescent="0.25">
      <c r="E15" t="s">
        <v>10</v>
      </c>
      <c r="G15">
        <f>G13+(($C$10*$C$5)/($C$9*$C$8))*((H13-2*G13+F13)/($C$4^2))</f>
        <v>278.73125585563173</v>
      </c>
      <c r="H15">
        <f t="shared" ref="H15:AI15" si="1">H13+(($C$10*$C$5)/($C$9*$C$8))*((I13-2*H13+G13)/($C$4^2))</f>
        <v>257.46251171126335</v>
      </c>
      <c r="I15">
        <f t="shared" si="1"/>
        <v>236.96816247634666</v>
      </c>
      <c r="J15">
        <f t="shared" si="1"/>
        <v>216.47381324142992</v>
      </c>
      <c r="K15">
        <f t="shared" si="1"/>
        <v>197.46665397822932</v>
      </c>
      <c r="L15">
        <f t="shared" si="1"/>
        <v>178.45949471502865</v>
      </c>
      <c r="M15">
        <f t="shared" si="1"/>
        <v>161.53823583928394</v>
      </c>
      <c r="N15">
        <f t="shared" si="1"/>
        <v>144.61697696353923</v>
      </c>
      <c r="O15">
        <f t="shared" si="1"/>
        <v>130.22984800966088</v>
      </c>
      <c r="P15">
        <f t="shared" si="1"/>
        <v>115.84271905578254</v>
      </c>
      <c r="Q15">
        <f t="shared" si="1"/>
        <v>104.270496391905</v>
      </c>
      <c r="R15">
        <f t="shared" si="1"/>
        <v>92.698273728027488</v>
      </c>
      <c r="S15">
        <f t="shared" si="1"/>
        <v>84.055998158016067</v>
      </c>
      <c r="T15">
        <f t="shared" si="1"/>
        <v>75.413722588004646</v>
      </c>
      <c r="U15">
        <f t="shared" si="1"/>
        <v>69.66699467545314</v>
      </c>
      <c r="V15">
        <f t="shared" si="1"/>
        <v>63.920266762901633</v>
      </c>
      <c r="W15">
        <f t="shared" si="1"/>
        <v>60.910136203563141</v>
      </c>
      <c r="X15">
        <f t="shared" si="1"/>
        <v>57.900005644224642</v>
      </c>
      <c r="Y15">
        <f t="shared" si="1"/>
        <v>57.370378810896113</v>
      </c>
      <c r="Z15">
        <f t="shared" si="1"/>
        <v>56.840751977567599</v>
      </c>
      <c r="AA15">
        <f t="shared" si="1"/>
        <v>58.463629185112978</v>
      </c>
      <c r="AB15">
        <f t="shared" si="1"/>
        <v>60.086506392658364</v>
      </c>
      <c r="AC15">
        <f t="shared" si="1"/>
        <v>63.482525072382117</v>
      </c>
      <c r="AD15">
        <f t="shared" si="1"/>
        <v>66.87854375210587</v>
      </c>
      <c r="AE15">
        <f t="shared" si="1"/>
        <v>71.632430928149716</v>
      </c>
      <c r="AF15">
        <f t="shared" si="1"/>
        <v>76.386318104193577</v>
      </c>
      <c r="AG15">
        <f t="shared" si="1"/>
        <v>82.058313664661455</v>
      </c>
      <c r="AH15">
        <f t="shared" si="1"/>
        <v>87.730309225129332</v>
      </c>
      <c r="AI15">
        <f t="shared" si="1"/>
        <v>93.865154612564652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0892A-CBF3-4B23-A1AA-9ED668D94432}">
  <dimension ref="B3:AJ16"/>
  <sheetViews>
    <sheetView topLeftCell="B1" zoomScale="60" zoomScaleNormal="60" workbookViewId="0">
      <selection activeCell="G13" sqref="G13"/>
    </sheetView>
  </sheetViews>
  <sheetFormatPr defaultRowHeight="15" x14ac:dyDescent="0.25"/>
  <sheetData>
    <row r="3" spans="2:36" x14ac:dyDescent="0.25">
      <c r="B3" s="2" t="s">
        <v>0</v>
      </c>
      <c r="C3" s="2">
        <v>0.1</v>
      </c>
    </row>
    <row r="4" spans="2:36" x14ac:dyDescent="0.25">
      <c r="B4" s="2" t="s">
        <v>1</v>
      </c>
      <c r="C4" s="4">
        <f>C3/30</f>
        <v>3.3333333333333335E-3</v>
      </c>
    </row>
    <row r="5" spans="2:36" x14ac:dyDescent="0.25">
      <c r="B5" s="2" t="s">
        <v>2</v>
      </c>
      <c r="C5" s="4">
        <f>(C9*C8*C4^2)/(2*C10)</f>
        <v>0.4333333333333334</v>
      </c>
    </row>
    <row r="6" spans="2:36" x14ac:dyDescent="0.25">
      <c r="B6" s="2" t="s">
        <v>3</v>
      </c>
      <c r="C6" s="2">
        <v>5000</v>
      </c>
      <c r="D6">
        <v>5000.4333333333334</v>
      </c>
    </row>
    <row r="8" spans="2:36" x14ac:dyDescent="0.25">
      <c r="B8" s="2" t="s">
        <v>4</v>
      </c>
      <c r="C8" s="2">
        <v>460</v>
      </c>
    </row>
    <row r="9" spans="2:36" x14ac:dyDescent="0.25">
      <c r="B9" s="2" t="s">
        <v>5</v>
      </c>
      <c r="C9" s="2">
        <v>7800</v>
      </c>
    </row>
    <row r="10" spans="2:36" x14ac:dyDescent="0.25">
      <c r="B10" s="2" t="s">
        <v>6</v>
      </c>
      <c r="C10" s="2">
        <v>46</v>
      </c>
    </row>
    <row r="11" spans="2:36" x14ac:dyDescent="0.25"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2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>AC12+$C$4</f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2" t="s">
        <v>9</v>
      </c>
      <c r="C13" s="2">
        <v>100</v>
      </c>
      <c r="E13" t="s">
        <v>7</v>
      </c>
      <c r="F13" s="1">
        <f>(F16/C10)*C4+G13</f>
        <v>299.76152995395427</v>
      </c>
      <c r="G13" s="1">
        <v>293.09486328728758</v>
      </c>
      <c r="H13" s="1">
        <v>286.42887258987537</v>
      </c>
      <c r="I13" s="1">
        <v>279.76355594560931</v>
      </c>
      <c r="J13" s="1">
        <v>273.09890952770422</v>
      </c>
      <c r="K13" s="1">
        <v>266.43492760954553</v>
      </c>
      <c r="L13" s="1">
        <v>259.77160258092186</v>
      </c>
      <c r="M13" s="1">
        <v>253.1089249695971</v>
      </c>
      <c r="N13" s="1">
        <v>246.44688346816059</v>
      </c>
      <c r="O13" s="1">
        <v>239.78546496607885</v>
      </c>
      <c r="P13" s="1">
        <v>233.12465458685932</v>
      </c>
      <c r="Q13" s="1">
        <v>226.46443573021875</v>
      </c>
      <c r="R13" s="1">
        <v>219.80479011913943</v>
      </c>
      <c r="S13" s="1">
        <v>213.14569785167603</v>
      </c>
      <c r="T13" s="1">
        <v>206.4871374573716</v>
      </c>
      <c r="U13" s="1">
        <v>199.82908595811583</v>
      </c>
      <c r="V13" s="1">
        <v>193.17151893328128</v>
      </c>
      <c r="W13" s="1">
        <v>186.51441058894395</v>
      </c>
      <c r="X13" s="1">
        <v>179.85773383100135</v>
      </c>
      <c r="Y13" s="1">
        <v>173.20146034197114</v>
      </c>
      <c r="Z13" s="1">
        <v>166.54556066126284</v>
      </c>
      <c r="AA13" s="1">
        <v>159.89000426868424</v>
      </c>
      <c r="AB13" s="1">
        <v>153.23475967095703</v>
      </c>
      <c r="AC13" s="1">
        <v>146.57979449098519</v>
      </c>
      <c r="AD13" s="1">
        <v>139.925075559634</v>
      </c>
      <c r="AE13" s="1">
        <v>133.27056900974901</v>
      </c>
      <c r="AF13" s="1">
        <v>126.61624037215859</v>
      </c>
      <c r="AG13" s="1">
        <v>119.96205467337839</v>
      </c>
      <c r="AH13" s="1">
        <v>113.30797653474929</v>
      </c>
      <c r="AI13" s="1">
        <v>106.65397027272058</v>
      </c>
      <c r="AJ13" s="1">
        <f>C13</f>
        <v>100</v>
      </c>
    </row>
    <row r="15" spans="2:36" x14ac:dyDescent="0.25">
      <c r="B15" s="5" t="s">
        <v>12</v>
      </c>
      <c r="C15" s="5">
        <v>92000</v>
      </c>
      <c r="E15" t="s">
        <v>10</v>
      </c>
      <c r="G15">
        <f>G13+(($C$10*$C$5)/($C$9*$C$8))*((H13-2*G13+F13)/($C$4^2))</f>
        <v>293.09520127191479</v>
      </c>
      <c r="H15">
        <f t="shared" ref="H15:AI15" si="1">H13+(($C$10*$C$5)/($C$9*$C$8))*((I13-2*H13+G13)/($C$4^2))</f>
        <v>286.42920961644847</v>
      </c>
      <c r="I15">
        <f t="shared" si="1"/>
        <v>279.7638910587898</v>
      </c>
      <c r="J15">
        <f t="shared" si="1"/>
        <v>273.09924177757739</v>
      </c>
      <c r="K15">
        <f t="shared" si="1"/>
        <v>266.43525605431307</v>
      </c>
      <c r="L15">
        <f t="shared" si="1"/>
        <v>259.7719262895713</v>
      </c>
      <c r="M15">
        <f t="shared" si="1"/>
        <v>253.10924302454123</v>
      </c>
      <c r="N15">
        <f t="shared" si="1"/>
        <v>246.44719496783796</v>
      </c>
      <c r="O15">
        <f t="shared" si="1"/>
        <v>239.78576902750996</v>
      </c>
      <c r="P15">
        <f t="shared" si="1"/>
        <v>233.12495034814879</v>
      </c>
      <c r="Q15">
        <f t="shared" si="1"/>
        <v>226.46472235299939</v>
      </c>
      <c r="R15">
        <f t="shared" si="1"/>
        <v>219.80506679094739</v>
      </c>
      <c r="S15">
        <f t="shared" si="1"/>
        <v>213.14596378825553</v>
      </c>
      <c r="T15">
        <f t="shared" si="1"/>
        <v>206.48739190489593</v>
      </c>
      <c r="U15">
        <f t="shared" si="1"/>
        <v>199.82932819532644</v>
      </c>
      <c r="V15">
        <f t="shared" si="1"/>
        <v>193.17174827352989</v>
      </c>
      <c r="W15">
        <f t="shared" si="1"/>
        <v>186.51462638214133</v>
      </c>
      <c r="X15">
        <f t="shared" si="1"/>
        <v>179.85793546545756</v>
      </c>
      <c r="Y15">
        <f t="shared" si="1"/>
        <v>173.2016472461321</v>
      </c>
      <c r="Z15">
        <f t="shared" si="1"/>
        <v>166.5457323053277</v>
      </c>
      <c r="AA15">
        <f t="shared" si="1"/>
        <v>159.89016016610992</v>
      </c>
      <c r="AB15">
        <f t="shared" si="1"/>
        <v>153.2348993798347</v>
      </c>
      <c r="AC15">
        <f t="shared" si="1"/>
        <v>146.57991761529553</v>
      </c>
      <c r="AD15">
        <f t="shared" si="1"/>
        <v>139.9251817503671</v>
      </c>
      <c r="AE15">
        <f t="shared" si="1"/>
        <v>133.27065796589631</v>
      </c>
      <c r="AF15">
        <f t="shared" si="1"/>
        <v>126.6163118415637</v>
      </c>
      <c r="AG15">
        <f t="shared" si="1"/>
        <v>119.96210845345394</v>
      </c>
      <c r="AH15">
        <f t="shared" si="1"/>
        <v>113.30801247304949</v>
      </c>
      <c r="AI15">
        <f t="shared" si="1"/>
        <v>106.65398826737464</v>
      </c>
    </row>
    <row r="16" spans="2:36" x14ac:dyDescent="0.25">
      <c r="B16" s="5" t="s">
        <v>9</v>
      </c>
      <c r="C16" s="5">
        <v>100</v>
      </c>
      <c r="E16" t="s">
        <v>11</v>
      </c>
      <c r="F16">
        <v>92000</v>
      </c>
      <c r="G16">
        <f>-$C$10*((G13-F13)/$C$4)</f>
        <v>92000.000000000247</v>
      </c>
      <c r="H16">
        <f t="shared" ref="H16:AI16" si="2">-$C$10*((H13-G13)/$C$4)</f>
        <v>91990.671624288516</v>
      </c>
      <c r="I16">
        <f t="shared" si="2"/>
        <v>91981.369690871565</v>
      </c>
      <c r="J16">
        <f t="shared" si="2"/>
        <v>91972.120567090227</v>
      </c>
      <c r="K16">
        <f t="shared" si="2"/>
        <v>91962.950470590018</v>
      </c>
      <c r="L16">
        <f t="shared" si="2"/>
        <v>91953.885395006495</v>
      </c>
      <c r="M16">
        <f t="shared" si="2"/>
        <v>91944.951036281782</v>
      </c>
      <c r="N16">
        <f t="shared" si="2"/>
        <v>91936.172719823764</v>
      </c>
      <c r="O16">
        <f t="shared" si="2"/>
        <v>91927.575328728068</v>
      </c>
      <c r="P16">
        <f t="shared" si="2"/>
        <v>91919.183233229458</v>
      </c>
      <c r="Q16">
        <f t="shared" si="2"/>
        <v>91911.020221639847</v>
      </c>
      <c r="R16">
        <f t="shared" si="2"/>
        <v>91903.109432894707</v>
      </c>
      <c r="S16">
        <f t="shared" si="2"/>
        <v>91895.473290994807</v>
      </c>
      <c r="T16">
        <f t="shared" si="2"/>
        <v>91888.133441401136</v>
      </c>
      <c r="U16">
        <f t="shared" si="2"/>
        <v>91881.110689729714</v>
      </c>
      <c r="V16">
        <f t="shared" si="2"/>
        <v>91874.424942716767</v>
      </c>
      <c r="W16">
        <f t="shared" si="2"/>
        <v>91868.095151855159</v>
      </c>
      <c r="X16">
        <f t="shared" si="2"/>
        <v>91862.139259607749</v>
      </c>
      <c r="Y16">
        <f t="shared" si="2"/>
        <v>91856.574148616928</v>
      </c>
      <c r="Z16">
        <f t="shared" si="2"/>
        <v>91851.415593774567</v>
      </c>
      <c r="AA16">
        <f t="shared" si="2"/>
        <v>91846.678217584718</v>
      </c>
      <c r="AB16">
        <f t="shared" si="2"/>
        <v>91842.375448635416</v>
      </c>
      <c r="AC16">
        <f t="shared" si="2"/>
        <v>91838.519483611366</v>
      </c>
      <c r="AD16">
        <f t="shared" si="2"/>
        <v>91835.121252646524</v>
      </c>
      <c r="AE16">
        <f t="shared" si="2"/>
        <v>91832.190388412797</v>
      </c>
      <c r="AF16">
        <f t="shared" si="2"/>
        <v>91829.735198747847</v>
      </c>
      <c r="AG16">
        <f t="shared" si="2"/>
        <v>91827.762643166701</v>
      </c>
      <c r="AH16">
        <f t="shared" si="2"/>
        <v>91826.27831308161</v>
      </c>
      <c r="AI16">
        <f t="shared" si="2"/>
        <v>91825.286415996074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ADA63-AF81-4E09-A761-4EAA53BCDC57}">
  <dimension ref="B3:AJ17"/>
  <sheetViews>
    <sheetView topLeftCell="A7" zoomScale="60" zoomScaleNormal="60" workbookViewId="0">
      <selection activeCell="V42" sqref="V42"/>
    </sheetView>
  </sheetViews>
  <sheetFormatPr defaultRowHeight="15" x14ac:dyDescent="0.25"/>
  <sheetData>
    <row r="3" spans="2:36" x14ac:dyDescent="0.25">
      <c r="B3" s="2" t="s">
        <v>0</v>
      </c>
      <c r="C3" s="2">
        <v>0.1</v>
      </c>
    </row>
    <row r="4" spans="2:36" x14ac:dyDescent="0.25">
      <c r="B4" s="2" t="s">
        <v>1</v>
      </c>
      <c r="C4" s="4">
        <f>C3/30</f>
        <v>3.3333333333333335E-3</v>
      </c>
    </row>
    <row r="5" spans="2:36" x14ac:dyDescent="0.25">
      <c r="B5" s="2" t="s">
        <v>2</v>
      </c>
      <c r="C5" s="4">
        <f>(C9*C8*C4^2)/(2*C10)</f>
        <v>0.4333333333333334</v>
      </c>
    </row>
    <row r="6" spans="2:36" x14ac:dyDescent="0.25">
      <c r="B6" s="2" t="s">
        <v>3</v>
      </c>
      <c r="C6" s="2">
        <v>100</v>
      </c>
      <c r="D6">
        <v>100.43333333333334</v>
      </c>
    </row>
    <row r="8" spans="2:36" x14ac:dyDescent="0.25">
      <c r="B8" s="2" t="s">
        <v>4</v>
      </c>
      <c r="C8" s="2">
        <v>460</v>
      </c>
    </row>
    <row r="9" spans="2:36" x14ac:dyDescent="0.25">
      <c r="B9" s="2" t="s">
        <v>5</v>
      </c>
      <c r="C9" s="2">
        <v>7800</v>
      </c>
    </row>
    <row r="10" spans="2:36" x14ac:dyDescent="0.25">
      <c r="B10" s="2" t="s">
        <v>6</v>
      </c>
      <c r="C10" s="2">
        <v>46</v>
      </c>
    </row>
    <row r="11" spans="2:36" x14ac:dyDescent="0.25"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13</v>
      </c>
      <c r="C12" s="2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>AC12+$C$4</f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2" t="s">
        <v>9</v>
      </c>
      <c r="C13" s="2">
        <v>100</v>
      </c>
      <c r="E13" t="s">
        <v>7</v>
      </c>
      <c r="F13" s="1">
        <f>C12</f>
        <v>300</v>
      </c>
      <c r="G13" s="1">
        <v>293.33330437049057</v>
      </c>
      <c r="H13" s="1">
        <v>286.66660937388872</v>
      </c>
      <c r="I13" s="1">
        <v>279.99991437728693</v>
      </c>
      <c r="J13" s="1">
        <v>273.33322125174681</v>
      </c>
      <c r="K13" s="1">
        <v>266.66652812620669</v>
      </c>
      <c r="L13" s="1">
        <v>259.999838028108</v>
      </c>
      <c r="M13" s="1">
        <v>253.33314793000929</v>
      </c>
      <c r="N13" s="1">
        <v>246.66646188341807</v>
      </c>
      <c r="O13" s="1">
        <v>239.99977583682684</v>
      </c>
      <c r="P13" s="1">
        <v>233.33309468873878</v>
      </c>
      <c r="Q13" s="1">
        <v>226.66641354065072</v>
      </c>
      <c r="R13" s="1">
        <v>219.99973792397344</v>
      </c>
      <c r="S13" s="1">
        <v>213.33306230729613</v>
      </c>
      <c r="T13" s="1">
        <v>206.66639261318801</v>
      </c>
      <c r="U13" s="1">
        <v>199.99972291907989</v>
      </c>
      <c r="V13" s="1">
        <v>193.33305927985469</v>
      </c>
      <c r="W13" s="1">
        <v>186.66639564062945</v>
      </c>
      <c r="X13" s="1">
        <v>179.99973792397344</v>
      </c>
      <c r="Y13" s="1">
        <v>173.33308020731738</v>
      </c>
      <c r="Z13" s="1">
        <v>166.66642802207213</v>
      </c>
      <c r="AA13" s="1">
        <v>159.99977583682687</v>
      </c>
      <c r="AB13" s="1">
        <v>153.33312855008475</v>
      </c>
      <c r="AC13" s="1">
        <v>146.66648126334263</v>
      </c>
      <c r="AD13" s="1">
        <v>139.99983802810797</v>
      </c>
      <c r="AE13" s="1">
        <v>133.33319479287331</v>
      </c>
      <c r="AF13" s="1">
        <v>126.66655458508009</v>
      </c>
      <c r="AG13" s="1">
        <v>119.99991437728687</v>
      </c>
      <c r="AH13" s="1">
        <v>113.33327604055539</v>
      </c>
      <c r="AI13" s="1">
        <v>106.66663770382388</v>
      </c>
      <c r="AJ13" s="1">
        <f>C13</f>
        <v>100</v>
      </c>
    </row>
    <row r="15" spans="2:36" x14ac:dyDescent="0.25">
      <c r="B15" s="8" t="s">
        <v>11</v>
      </c>
      <c r="C15" s="8">
        <v>92000</v>
      </c>
      <c r="E15" t="s">
        <v>10</v>
      </c>
      <c r="G15">
        <f>G13+(($C$10*$C$5)/($C$9*$C$8))*((H13-2*G13+F13)/($C$4^2))</f>
        <v>293.33330468694436</v>
      </c>
      <c r="H15">
        <f t="shared" ref="H15:AI15" si="1">H13+(($C$10*$C$5)/($C$9*$C$8))*((I13-2*H13+G13)/($C$4^2))</f>
        <v>286.66660937388872</v>
      </c>
      <c r="I15">
        <f t="shared" si="1"/>
        <v>279.99991531281773</v>
      </c>
      <c r="J15">
        <f t="shared" si="1"/>
        <v>273.33322125174681</v>
      </c>
      <c r="K15">
        <f t="shared" si="1"/>
        <v>266.66652963992738</v>
      </c>
      <c r="L15">
        <f t="shared" si="1"/>
        <v>259.999838028108</v>
      </c>
      <c r="M15">
        <f t="shared" si="1"/>
        <v>253.33314995576305</v>
      </c>
      <c r="N15">
        <f t="shared" si="1"/>
        <v>246.66646188341807</v>
      </c>
      <c r="O15">
        <f t="shared" si="1"/>
        <v>239.99977828607842</v>
      </c>
      <c r="P15">
        <f t="shared" si="1"/>
        <v>233.33309468873878</v>
      </c>
      <c r="Q15">
        <f t="shared" si="1"/>
        <v>226.6664163063561</v>
      </c>
      <c r="R15">
        <f t="shared" si="1"/>
        <v>219.99973792397344</v>
      </c>
      <c r="S15">
        <f t="shared" si="1"/>
        <v>213.33306526858073</v>
      </c>
      <c r="T15">
        <f t="shared" si="1"/>
        <v>206.66639261318801</v>
      </c>
      <c r="U15">
        <f t="shared" si="1"/>
        <v>199.99972594652135</v>
      </c>
      <c r="V15">
        <f t="shared" si="1"/>
        <v>193.33305927985467</v>
      </c>
      <c r="W15">
        <f t="shared" si="1"/>
        <v>186.66639860191407</v>
      </c>
      <c r="X15">
        <f t="shared" si="1"/>
        <v>179.99973792397341</v>
      </c>
      <c r="Y15">
        <f t="shared" si="1"/>
        <v>173.33308297302278</v>
      </c>
      <c r="Z15">
        <f t="shared" si="1"/>
        <v>166.66642802207213</v>
      </c>
      <c r="AA15">
        <f t="shared" si="1"/>
        <v>159.99977828607842</v>
      </c>
      <c r="AB15">
        <f t="shared" si="1"/>
        <v>153.33312855008475</v>
      </c>
      <c r="AC15">
        <f t="shared" si="1"/>
        <v>146.66648328909636</v>
      </c>
      <c r="AD15">
        <f t="shared" si="1"/>
        <v>139.99983802810797</v>
      </c>
      <c r="AE15">
        <f t="shared" si="1"/>
        <v>133.33319630659403</v>
      </c>
      <c r="AF15">
        <f t="shared" si="1"/>
        <v>126.66655458508009</v>
      </c>
      <c r="AG15">
        <f t="shared" si="1"/>
        <v>119.99991531281773</v>
      </c>
      <c r="AH15">
        <f t="shared" si="1"/>
        <v>113.33327604055538</v>
      </c>
      <c r="AI15">
        <f t="shared" si="1"/>
        <v>106.6666380202777</v>
      </c>
    </row>
    <row r="16" spans="2:36" x14ac:dyDescent="0.25">
      <c r="B16" s="7" t="s">
        <v>14</v>
      </c>
      <c r="C16" s="8">
        <v>13800</v>
      </c>
      <c r="E16" t="s">
        <v>11</v>
      </c>
      <c r="F16">
        <v>92000</v>
      </c>
      <c r="G16">
        <f>-$C$10*((G13-F13)/$C$4)</f>
        <v>92000.39968723018</v>
      </c>
      <c r="H16">
        <f t="shared" ref="H16:AI16" si="2">-$C$10*((H13-G13)/$C$4)</f>
        <v>92000.390953105496</v>
      </c>
      <c r="I16">
        <f t="shared" si="2"/>
        <v>92000.39095310471</v>
      </c>
      <c r="J16">
        <f t="shared" si="2"/>
        <v>92000.365132453662</v>
      </c>
      <c r="K16">
        <f t="shared" si="2"/>
        <v>92000.365132453662</v>
      </c>
      <c r="L16">
        <f t="shared" si="2"/>
        <v>92000.323353761822</v>
      </c>
      <c r="M16">
        <f t="shared" si="2"/>
        <v>92000.323353762229</v>
      </c>
      <c r="N16">
        <f t="shared" si="2"/>
        <v>92000.267442958881</v>
      </c>
      <c r="O16">
        <f t="shared" si="2"/>
        <v>92000.267442958881</v>
      </c>
      <c r="P16">
        <f t="shared" si="2"/>
        <v>92000.199843615206</v>
      </c>
      <c r="Q16">
        <f t="shared" si="2"/>
        <v>92000.199843615206</v>
      </c>
      <c r="R16">
        <f t="shared" si="2"/>
        <v>92000.123510146484</v>
      </c>
      <c r="S16">
        <f t="shared" si="2"/>
        <v>92000.123510146863</v>
      </c>
      <c r="T16">
        <f t="shared" si="2"/>
        <v>92000.041778692088</v>
      </c>
      <c r="U16">
        <f t="shared" si="2"/>
        <v>92000.041778692088</v>
      </c>
      <c r="V16">
        <f t="shared" si="2"/>
        <v>91999.958221307636</v>
      </c>
      <c r="W16">
        <f t="shared" si="2"/>
        <v>91999.958221308421</v>
      </c>
      <c r="X16">
        <f t="shared" si="2"/>
        <v>91999.876489852846</v>
      </c>
      <c r="Y16">
        <f t="shared" si="2"/>
        <v>91999.876489853632</v>
      </c>
      <c r="Z16">
        <f t="shared" si="2"/>
        <v>91999.800156384503</v>
      </c>
      <c r="AA16">
        <f t="shared" si="2"/>
        <v>91999.800156384503</v>
      </c>
      <c r="AB16">
        <f t="shared" si="2"/>
        <v>91999.732557041236</v>
      </c>
      <c r="AC16">
        <f t="shared" si="2"/>
        <v>91999.732557041236</v>
      </c>
      <c r="AD16">
        <f t="shared" si="2"/>
        <v>91999.676646238295</v>
      </c>
      <c r="AE16">
        <f t="shared" si="2"/>
        <v>91999.676646238295</v>
      </c>
      <c r="AF16">
        <f t="shared" si="2"/>
        <v>91999.634867546454</v>
      </c>
      <c r="AG16">
        <f t="shared" si="2"/>
        <v>91999.634867546454</v>
      </c>
      <c r="AH16">
        <f t="shared" si="2"/>
        <v>91999.609046894431</v>
      </c>
      <c r="AI16">
        <f t="shared" si="2"/>
        <v>91999.609046894824</v>
      </c>
    </row>
    <row r="17" spans="5:35" x14ac:dyDescent="0.25">
      <c r="E17" s="6" t="s">
        <v>14</v>
      </c>
      <c r="F17">
        <f>C16</f>
        <v>13800</v>
      </c>
      <c r="G17">
        <f>-$C$15/(G13-F13)</f>
        <v>13799.940047175933</v>
      </c>
      <c r="H17">
        <f>-$C$15/(H13-G13)</f>
        <v>13799.941357283376</v>
      </c>
      <c r="I17">
        <f t="shared" ref="I17:AI17" si="3">-$C$15/(I13-H13)</f>
        <v>13799.941357283495</v>
      </c>
      <c r="J17">
        <f t="shared" si="3"/>
        <v>13799.945230349322</v>
      </c>
      <c r="K17">
        <f t="shared" si="3"/>
        <v>13799.945230349322</v>
      </c>
      <c r="L17">
        <f t="shared" si="3"/>
        <v>13799.951497106198</v>
      </c>
      <c r="M17">
        <f t="shared" si="3"/>
        <v>13799.95149710614</v>
      </c>
      <c r="N17">
        <f t="shared" si="3"/>
        <v>13799.959883672786</v>
      </c>
      <c r="O17">
        <f t="shared" si="3"/>
        <v>13799.959883672786</v>
      </c>
      <c r="P17">
        <f t="shared" si="3"/>
        <v>13799.970023522832</v>
      </c>
      <c r="Q17">
        <f t="shared" si="3"/>
        <v>13799.970023522832</v>
      </c>
      <c r="R17">
        <f t="shared" si="3"/>
        <v>13799.981473502899</v>
      </c>
      <c r="S17">
        <f t="shared" si="3"/>
        <v>13799.981473502841</v>
      </c>
      <c r="T17">
        <f t="shared" si="3"/>
        <v>13799.993733199031</v>
      </c>
      <c r="U17">
        <f t="shared" si="3"/>
        <v>13799.993733199031</v>
      </c>
      <c r="V17">
        <f t="shared" si="3"/>
        <v>13800.006266806698</v>
      </c>
      <c r="W17">
        <f t="shared" si="3"/>
        <v>13800.006266806582</v>
      </c>
      <c r="X17">
        <f t="shared" si="3"/>
        <v>13800.018526546943</v>
      </c>
      <c r="Y17">
        <f t="shared" si="3"/>
        <v>13800.018526546824</v>
      </c>
      <c r="Z17">
        <f t="shared" si="3"/>
        <v>13800.029976607439</v>
      </c>
      <c r="AA17">
        <f t="shared" si="3"/>
        <v>13800.029976607439</v>
      </c>
      <c r="AB17">
        <f t="shared" si="3"/>
        <v>13800.040116560433</v>
      </c>
      <c r="AC17">
        <f t="shared" si="3"/>
        <v>13800.040116560433</v>
      </c>
      <c r="AD17">
        <f t="shared" si="3"/>
        <v>13800.048503234731</v>
      </c>
      <c r="AE17">
        <f t="shared" si="3"/>
        <v>13800.048503234731</v>
      </c>
      <c r="AF17">
        <f t="shared" si="3"/>
        <v>13800.054770085404</v>
      </c>
      <c r="AG17">
        <f t="shared" si="3"/>
        <v>13800.054770085404</v>
      </c>
      <c r="AH17">
        <f t="shared" si="3"/>
        <v>13800.058643215039</v>
      </c>
      <c r="AI17">
        <f t="shared" si="3"/>
        <v>13800.058643214979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B52E2-78A7-4460-BB30-FEE9B842DA21}">
  <dimension ref="C4:E4"/>
  <sheetViews>
    <sheetView workbookViewId="0">
      <selection activeCell="G9" sqref="G9"/>
    </sheetView>
  </sheetViews>
  <sheetFormatPr defaultRowHeight="15" x14ac:dyDescent="0.25"/>
  <sheetData>
    <row r="4" spans="3:5" ht="18.75" x14ac:dyDescent="0.3">
      <c r="C4" s="9" t="s">
        <v>15</v>
      </c>
      <c r="D4" s="9"/>
      <c r="E4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885B1-586E-46F3-8B1B-F9C2715A58D0}">
  <dimension ref="A3:AJ19"/>
  <sheetViews>
    <sheetView topLeftCell="D1" zoomScale="60" zoomScaleNormal="60" workbookViewId="0">
      <selection sqref="A1:AJ50"/>
    </sheetView>
  </sheetViews>
  <sheetFormatPr defaultRowHeight="15" x14ac:dyDescent="0.25"/>
  <cols>
    <col min="3" max="3" width="11" customWidth="1"/>
    <col min="6" max="6" width="14.140625" bestFit="1" customWidth="1"/>
  </cols>
  <sheetData>
    <row r="3" spans="2:36" x14ac:dyDescent="0.25">
      <c r="B3" s="2" t="s">
        <v>0</v>
      </c>
      <c r="C3" s="2">
        <v>0.1</v>
      </c>
    </row>
    <row r="4" spans="2:36" x14ac:dyDescent="0.25">
      <c r="B4" s="2" t="s">
        <v>1</v>
      </c>
      <c r="C4" s="4">
        <f>C3/30</f>
        <v>3.3333333333333335E-3</v>
      </c>
    </row>
    <row r="5" spans="2:36" x14ac:dyDescent="0.25">
      <c r="B5" s="2" t="s">
        <v>2</v>
      </c>
      <c r="C5" s="4">
        <v>1</v>
      </c>
    </row>
    <row r="6" spans="2:36" x14ac:dyDescent="0.25">
      <c r="B6" s="2" t="s">
        <v>3</v>
      </c>
      <c r="C6" s="2">
        <v>60</v>
      </c>
      <c r="D6">
        <v>61</v>
      </c>
    </row>
    <row r="8" spans="2:36" x14ac:dyDescent="0.25">
      <c r="B8" s="2" t="s">
        <v>4</v>
      </c>
      <c r="C8" s="2">
        <v>460</v>
      </c>
    </row>
    <row r="9" spans="2:36" x14ac:dyDescent="0.25">
      <c r="B9" s="2" t="s">
        <v>5</v>
      </c>
      <c r="C9" s="2">
        <v>7800</v>
      </c>
    </row>
    <row r="10" spans="2:36" x14ac:dyDescent="0.25">
      <c r="B10" s="2" t="s">
        <v>6</v>
      </c>
      <c r="C10" s="2">
        <v>46</v>
      </c>
    </row>
    <row r="11" spans="2:36" x14ac:dyDescent="0.25"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2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>AC12+$C$4</f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2" t="s">
        <v>9</v>
      </c>
      <c r="C13" s="2">
        <v>100</v>
      </c>
      <c r="E13" t="s">
        <v>7</v>
      </c>
      <c r="F13" s="1">
        <f>C12</f>
        <v>300</v>
      </c>
      <c r="G13" s="1">
        <v>280.08693913290779</v>
      </c>
      <c r="H13" s="1">
        <v>260.34528884307161</v>
      </c>
      <c r="I13" s="1">
        <v>240.94322870396994</v>
      </c>
      <c r="J13" s="1">
        <v>222.04259121089382</v>
      </c>
      <c r="K13" s="1">
        <v>203.79596876432686</v>
      </c>
      <c r="L13" s="1">
        <v>186.34413876917324</v>
      </c>
      <c r="M13" s="1">
        <v>169.81388358198322</v>
      </c>
      <c r="N13" s="1">
        <v>154.31625985996382</v>
      </c>
      <c r="O13" s="1">
        <v>139.94534749959735</v>
      </c>
      <c r="P13" s="1">
        <v>126.77748357718227</v>
      </c>
      <c r="Q13" s="1">
        <v>114.87096325508259</v>
      </c>
      <c r="R13" s="1">
        <v>104.26616904525943</v>
      </c>
      <c r="S13" s="1">
        <v>94.986073365012601</v>
      </c>
      <c r="T13" s="1">
        <v>87.037047818685522</v>
      </c>
      <c r="U13" s="1">
        <v>80.409906485303992</v>
      </c>
      <c r="V13" s="1">
        <v>75.081109624202767</v>
      </c>
      <c r="W13" s="1">
        <v>71.014058149603613</v>
      </c>
      <c r="X13" s="1">
        <v>68.160417145848754</v>
      </c>
      <c r="Y13" s="1">
        <v>66.46141752495555</v>
      </c>
      <c r="Z13" s="1">
        <v>65.849097461430532</v>
      </c>
      <c r="AA13" s="1">
        <v>66.247458255201678</v>
      </c>
      <c r="AB13" s="1">
        <v>67.57352164822106</v>
      </c>
      <c r="AC13" s="1">
        <v>69.738286421168993</v>
      </c>
      <c r="AD13" s="1">
        <v>72.647590652214689</v>
      </c>
      <c r="AE13" s="1">
        <v>76.202891959403246</v>
      </c>
      <c r="AF13" s="1">
        <v>80.301981310525889</v>
      </c>
      <c r="AG13" s="1">
        <v>84.839646794335977</v>
      </c>
      <c r="AH13" s="1">
        <v>89.708302566510795</v>
      </c>
      <c r="AI13" s="1">
        <v>94.798595640747052</v>
      </c>
      <c r="AJ13" s="1">
        <f>C13</f>
        <v>100</v>
      </c>
    </row>
    <row r="15" spans="2:36" x14ac:dyDescent="0.25">
      <c r="E15" t="s">
        <v>16</v>
      </c>
      <c r="G15">
        <f>G18*H15+G19</f>
        <v>280.28058441744241</v>
      </c>
      <c r="H15">
        <f t="shared" ref="H15:AI15" si="1">H18*I15+H19</f>
        <v>260.72899474814812</v>
      </c>
      <c r="I15">
        <f t="shared" si="1"/>
        <v>241.50995019658697</v>
      </c>
      <c r="J15">
        <f t="shared" si="1"/>
        <v>222.78206427196045</v>
      </c>
      <c r="K15">
        <f t="shared" si="1"/>
        <v>204.69505500025832</v>
      </c>
      <c r="L15">
        <f t="shared" si="1"/>
        <v>187.38725379969685</v>
      </c>
      <c r="M15">
        <f t="shared" si="1"/>
        <v>170.98348562558914</v>
      </c>
      <c r="N15">
        <f t="shared" si="1"/>
        <v>155.59337255593991</v>
      </c>
      <c r="O15">
        <f t="shared" si="1"/>
        <v>141.31009048946993</v>
      </c>
      <c r="P15">
        <f t="shared" si="1"/>
        <v>128.20958568088957</v>
      </c>
      <c r="Q15">
        <f t="shared" si="1"/>
        <v>116.35023602885556</v>
      </c>
      <c r="R15">
        <f t="shared" si="1"/>
        <v>105.77292278075812</v>
      </c>
      <c r="S15">
        <f t="shared" si="1"/>
        <v>96.501462770092843</v>
      </c>
      <c r="T15">
        <f t="shared" si="1"/>
        <v>88.5433402438304</v>
      </c>
      <c r="U15">
        <f t="shared" si="1"/>
        <v>81.890671152693514</v>
      </c>
      <c r="V15">
        <f t="shared" si="1"/>
        <v>76.521331439960875</v>
      </c>
      <c r="W15">
        <f t="shared" si="1"/>
        <v>72.400183967551897</v>
      </c>
      <c r="X15">
        <f t="shared" si="1"/>
        <v>69.480345537364741</v>
      </c>
      <c r="Y15">
        <f t="shared" si="1"/>
        <v>67.704445046491415</v>
      </c>
      <c r="Z15">
        <f t="shared" si="1"/>
        <v>67.005835074282487</v>
      </c>
      <c r="AA15">
        <f t="shared" si="1"/>
        <v>67.309731033211904</v>
      </c>
      <c r="AB15">
        <f t="shared" si="1"/>
        <v>68.534263399750159</v>
      </c>
      <c r="AC15">
        <f t="shared" si="1"/>
        <v>70.591438617613619</v>
      </c>
      <c r="AD15">
        <f t="shared" si="1"/>
        <v>73.388012405729086</v>
      </c>
      <c r="AE15">
        <f t="shared" si="1"/>
        <v>76.826285046890348</v>
      </c>
      <c r="AF15">
        <f t="shared" si="1"/>
        <v>80.804831697207106</v>
      </c>
      <c r="AG15">
        <f t="shared" si="1"/>
        <v>85.21918201598092</v>
      </c>
      <c r="AH15">
        <f t="shared" si="1"/>
        <v>89.962462860180352</v>
      </c>
      <c r="AI15">
        <f t="shared" si="1"/>
        <v>94.926015958893416</v>
      </c>
      <c r="AJ15">
        <f>AJ13</f>
        <v>100</v>
      </c>
    </row>
    <row r="17" spans="1:35" x14ac:dyDescent="0.25">
      <c r="A17" s="11"/>
      <c r="B17" s="10" t="s">
        <v>17</v>
      </c>
      <c r="C17" s="10">
        <v>4140000</v>
      </c>
      <c r="E17" t="s">
        <v>20</v>
      </c>
      <c r="F17">
        <f>-(($C$9*$C$8)/$C$5)*F13</f>
        <v>-1076400000</v>
      </c>
      <c r="G17">
        <f t="shared" ref="G17:AI17" si="2">-(($C$9*$C$8)/$C$5)*G13</f>
        <v>-1004951937.6088731</v>
      </c>
      <c r="H17">
        <f t="shared" si="2"/>
        <v>-934118896.36894095</v>
      </c>
      <c r="I17">
        <f t="shared" si="2"/>
        <v>-864504304.58984411</v>
      </c>
      <c r="J17">
        <f t="shared" si="2"/>
        <v>-796688817.26468706</v>
      </c>
      <c r="K17">
        <f t="shared" si="2"/>
        <v>-731219935.92640471</v>
      </c>
      <c r="L17">
        <f t="shared" si="2"/>
        <v>-668602769.90379357</v>
      </c>
      <c r="M17">
        <f t="shared" si="2"/>
        <v>-609292214.29215574</v>
      </c>
      <c r="N17">
        <f t="shared" si="2"/>
        <v>-553686740.37755024</v>
      </c>
      <c r="O17">
        <f t="shared" si="2"/>
        <v>-502123906.82855529</v>
      </c>
      <c r="P17">
        <f t="shared" si="2"/>
        <v>-454877611.07492995</v>
      </c>
      <c r="Q17">
        <f t="shared" si="2"/>
        <v>-412157016.15923631</v>
      </c>
      <c r="R17">
        <f t="shared" si="2"/>
        <v>-374107014.53439087</v>
      </c>
      <c r="S17">
        <f t="shared" si="2"/>
        <v>-340810031.23366523</v>
      </c>
      <c r="T17">
        <f t="shared" si="2"/>
        <v>-312288927.57344365</v>
      </c>
      <c r="U17">
        <f t="shared" si="2"/>
        <v>-288510744.46927071</v>
      </c>
      <c r="V17">
        <f t="shared" si="2"/>
        <v>-269391021.33163953</v>
      </c>
      <c r="W17">
        <f t="shared" si="2"/>
        <v>-254798440.64077777</v>
      </c>
      <c r="X17">
        <f t="shared" si="2"/>
        <v>-244559576.71930534</v>
      </c>
      <c r="Y17">
        <f t="shared" si="2"/>
        <v>-238463566.07954052</v>
      </c>
      <c r="Z17">
        <f t="shared" si="2"/>
        <v>-236266561.69161275</v>
      </c>
      <c r="AA17">
        <f t="shared" si="2"/>
        <v>-237695880.21966362</v>
      </c>
      <c r="AB17">
        <f t="shared" si="2"/>
        <v>-242453795.67381716</v>
      </c>
      <c r="AC17">
        <f t="shared" si="2"/>
        <v>-250220971.67915434</v>
      </c>
      <c r="AD17">
        <f t="shared" si="2"/>
        <v>-260659555.26014629</v>
      </c>
      <c r="AE17">
        <f t="shared" si="2"/>
        <v>-273415976.35033882</v>
      </c>
      <c r="AF17">
        <f t="shared" si="2"/>
        <v>-288123508.94216686</v>
      </c>
      <c r="AG17">
        <f t="shared" si="2"/>
        <v>-304404652.6980775</v>
      </c>
      <c r="AH17">
        <f t="shared" si="2"/>
        <v>-321873389.60864073</v>
      </c>
      <c r="AI17">
        <f t="shared" si="2"/>
        <v>-340137361.1590004</v>
      </c>
    </row>
    <row r="18" spans="1:35" x14ac:dyDescent="0.25">
      <c r="A18" s="11"/>
      <c r="B18" s="10" t="s">
        <v>18</v>
      </c>
      <c r="C18" s="10">
        <v>11868000</v>
      </c>
      <c r="E18" t="s">
        <v>21</v>
      </c>
      <c r="F18">
        <v>0</v>
      </c>
      <c r="G18">
        <f>$C$17/($C$18-$C$19*F18)</f>
        <v>0.34883720930232559</v>
      </c>
      <c r="H18">
        <f t="shared" ref="H18:AI18" si="3">$C$17/($C$18-$C$19*G18)</f>
        <v>0.39716748768472904</v>
      </c>
      <c r="I18">
        <f t="shared" si="3"/>
        <v>0.40494040593779612</v>
      </c>
      <c r="J18">
        <f t="shared" si="3"/>
        <v>0.40621900816215001</v>
      </c>
      <c r="K18">
        <f t="shared" si="3"/>
        <v>0.40643010492156106</v>
      </c>
      <c r="L18">
        <f t="shared" si="3"/>
        <v>0.40646497802255072</v>
      </c>
      <c r="M18">
        <f t="shared" si="3"/>
        <v>0.40647073962099717</v>
      </c>
      <c r="N18">
        <f t="shared" si="3"/>
        <v>0.40647169154566148</v>
      </c>
      <c r="O18">
        <f t="shared" si="3"/>
        <v>0.40647184882198811</v>
      </c>
      <c r="P18">
        <f t="shared" si="3"/>
        <v>0.40647187480708441</v>
      </c>
      <c r="Q18">
        <f t="shared" si="3"/>
        <v>0.40647187910032606</v>
      </c>
      <c r="R18">
        <f t="shared" si="3"/>
        <v>0.40647187980965288</v>
      </c>
      <c r="S18">
        <f t="shared" si="3"/>
        <v>0.40647187992684741</v>
      </c>
      <c r="T18">
        <f t="shared" si="3"/>
        <v>0.4064718799462102</v>
      </c>
      <c r="U18">
        <f t="shared" si="3"/>
        <v>0.40647187994940931</v>
      </c>
      <c r="V18">
        <f t="shared" si="3"/>
        <v>0.40647187994993789</v>
      </c>
      <c r="W18">
        <f t="shared" si="3"/>
        <v>0.40647187995002521</v>
      </c>
      <c r="X18">
        <f t="shared" si="3"/>
        <v>0.40647187995003964</v>
      </c>
      <c r="Y18">
        <f t="shared" si="3"/>
        <v>0.40647187995004203</v>
      </c>
      <c r="Z18">
        <f t="shared" si="3"/>
        <v>0.40647187995004241</v>
      </c>
      <c r="AA18">
        <f t="shared" si="3"/>
        <v>0.40647187995004247</v>
      </c>
      <c r="AB18">
        <f t="shared" si="3"/>
        <v>0.40647187995004247</v>
      </c>
      <c r="AC18">
        <f t="shared" si="3"/>
        <v>0.40647187995004247</v>
      </c>
      <c r="AD18">
        <f t="shared" si="3"/>
        <v>0.40647187995004247</v>
      </c>
      <c r="AE18">
        <f t="shared" si="3"/>
        <v>0.40647187995004247</v>
      </c>
      <c r="AF18">
        <f t="shared" si="3"/>
        <v>0.40647187995004247</v>
      </c>
      <c r="AG18">
        <f t="shared" si="3"/>
        <v>0.40647187995004247</v>
      </c>
      <c r="AH18">
        <f t="shared" si="3"/>
        <v>0.40647187995004247</v>
      </c>
      <c r="AI18">
        <f t="shared" si="3"/>
        <v>0.40647187995004247</v>
      </c>
    </row>
    <row r="19" spans="1:35" x14ac:dyDescent="0.25">
      <c r="A19" s="11"/>
      <c r="B19" s="10" t="s">
        <v>19</v>
      </c>
      <c r="C19" s="10">
        <v>4140000</v>
      </c>
      <c r="E19" t="s">
        <v>22</v>
      </c>
      <c r="F19">
        <v>300</v>
      </c>
      <c r="G19">
        <f>(F19*$C$19-G17)/($C$18-$C$19*F18)</f>
        <v>189.32860950529772</v>
      </c>
      <c r="H19">
        <f t="shared" ref="H19:AI19" si="4">(G19*$C$19-H17)/($C$18-$C$19*G18)</f>
        <v>164.80909457770568</v>
      </c>
      <c r="I19">
        <f t="shared" si="4"/>
        <v>151.29649065463911</v>
      </c>
      <c r="J19">
        <f t="shared" si="4"/>
        <v>139.63104205405878</v>
      </c>
      <c r="K19">
        <f t="shared" si="4"/>
        <v>128.53523377748434</v>
      </c>
      <c r="L19">
        <f t="shared" si="4"/>
        <v>117.88845507267264</v>
      </c>
      <c r="M19">
        <f t="shared" si="4"/>
        <v>107.73933240265089</v>
      </c>
      <c r="N19">
        <f t="shared" si="4"/>
        <v>98.154821042214579</v>
      </c>
      <c r="O19">
        <f t="shared" si="4"/>
        <v>89.196503161057663</v>
      </c>
      <c r="P19">
        <f t="shared" si="4"/>
        <v>80.916487107993873</v>
      </c>
      <c r="Q19">
        <f t="shared" si="4"/>
        <v>73.356517348227115</v>
      </c>
      <c r="R19">
        <f t="shared" si="4"/>
        <v>66.547791804217255</v>
      </c>
      <c r="S19">
        <f t="shared" si="4"/>
        <v>60.511084806180612</v>
      </c>
      <c r="T19">
        <f t="shared" si="4"/>
        <v>55.257085190338181</v>
      </c>
      <c r="U19">
        <f t="shared" si="4"/>
        <v>50.786901706060775</v>
      </c>
      <c r="V19">
        <f t="shared" si="4"/>
        <v>47.092692553948694</v>
      </c>
      <c r="W19">
        <f t="shared" si="4"/>
        <v>44.158377297401898</v>
      </c>
      <c r="X19">
        <f t="shared" si="4"/>
        <v>41.960392478343223</v>
      </c>
      <c r="Y19">
        <f t="shared" si="4"/>
        <v>40.468457296225345</v>
      </c>
      <c r="Z19">
        <f t="shared" si="4"/>
        <v>39.64632216228113</v>
      </c>
      <c r="AA19">
        <f t="shared" si="4"/>
        <v>39.45248014812406</v>
      </c>
      <c r="AB19">
        <f t="shared" si="4"/>
        <v>39.840828636470718</v>
      </c>
      <c r="AC19">
        <f t="shared" si="4"/>
        <v>40.761275249259874</v>
      </c>
      <c r="AD19">
        <f t="shared" si="4"/>
        <v>42.160287893141721</v>
      </c>
      <c r="AE19">
        <f t="shared" si="4"/>
        <v>43.981393197879797</v>
      </c>
      <c r="AF19">
        <f t="shared" si="4"/>
        <v>46.165630575366492</v>
      </c>
      <c r="AG19">
        <f t="shared" si="4"/>
        <v>48.65197061226754</v>
      </c>
      <c r="AH19">
        <f t="shared" si="4"/>
        <v>51.377706697201219</v>
      </c>
      <c r="AI19">
        <f t="shared" si="4"/>
        <v>54.278827963889171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F09D9-4C03-4F54-9DC8-B7BBD791B218}">
  <dimension ref="A3:AJ22"/>
  <sheetViews>
    <sheetView tabSelected="1" zoomScale="70" zoomScaleNormal="70" workbookViewId="0">
      <selection activeCell="G13" sqref="G13:AI13"/>
    </sheetView>
  </sheetViews>
  <sheetFormatPr defaultRowHeight="15" x14ac:dyDescent="0.25"/>
  <sheetData>
    <row r="3" spans="2:36" x14ac:dyDescent="0.25">
      <c r="B3" s="2" t="s">
        <v>0</v>
      </c>
      <c r="C3" s="2">
        <v>0.1</v>
      </c>
    </row>
    <row r="4" spans="2:36" x14ac:dyDescent="0.25">
      <c r="B4" s="2" t="s">
        <v>1</v>
      </c>
      <c r="C4" s="4">
        <f>C3/30</f>
        <v>3.3333333333333335E-3</v>
      </c>
    </row>
    <row r="5" spans="2:36" x14ac:dyDescent="0.25">
      <c r="B5" s="2" t="s">
        <v>2</v>
      </c>
      <c r="C5" s="4">
        <v>1</v>
      </c>
    </row>
    <row r="6" spans="2:36" x14ac:dyDescent="0.25">
      <c r="B6" s="2" t="s">
        <v>3</v>
      </c>
      <c r="C6" s="2">
        <v>5000</v>
      </c>
      <c r="D6">
        <v>5001</v>
      </c>
    </row>
    <row r="8" spans="2:36" x14ac:dyDescent="0.25">
      <c r="B8" s="2" t="s">
        <v>4</v>
      </c>
      <c r="C8" s="2">
        <v>460</v>
      </c>
    </row>
    <row r="9" spans="2:36" x14ac:dyDescent="0.25">
      <c r="B9" s="2" t="s">
        <v>5</v>
      </c>
      <c r="C9" s="2">
        <v>7800</v>
      </c>
    </row>
    <row r="10" spans="2:36" x14ac:dyDescent="0.25">
      <c r="B10" s="2" t="s">
        <v>6</v>
      </c>
      <c r="C10" s="2">
        <v>46</v>
      </c>
    </row>
    <row r="11" spans="2:36" x14ac:dyDescent="0.25"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2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>AC12+$C$4</f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2" t="s">
        <v>9</v>
      </c>
      <c r="C13" s="2">
        <v>100</v>
      </c>
      <c r="E13" t="s">
        <v>7</v>
      </c>
      <c r="F13" s="1">
        <f>(F16/C10)*C4+G13</f>
        <v>299.99999999999966</v>
      </c>
      <c r="G13" s="1">
        <v>293.33333333333297</v>
      </c>
      <c r="H13" s="1">
        <v>286.66666666666606</v>
      </c>
      <c r="I13" s="1">
        <v>279.99999999999915</v>
      </c>
      <c r="J13" s="1">
        <v>273.33333333333223</v>
      </c>
      <c r="K13" s="1">
        <v>266.66666666666538</v>
      </c>
      <c r="L13" s="1">
        <v>259.99999999999864</v>
      </c>
      <c r="M13" s="1">
        <v>253.33333333333195</v>
      </c>
      <c r="N13" s="1">
        <v>246.66666666666526</v>
      </c>
      <c r="O13" s="1">
        <v>239.99999999999852</v>
      </c>
      <c r="P13" s="1">
        <v>233.33333333333184</v>
      </c>
      <c r="Q13" s="1">
        <v>226.66666666666509</v>
      </c>
      <c r="R13" s="1">
        <v>219.99999999999841</v>
      </c>
      <c r="S13" s="1">
        <v>213.33333333333172</v>
      </c>
      <c r="T13" s="1">
        <v>206.66666666666509</v>
      </c>
      <c r="U13" s="1">
        <v>199.99999999999841</v>
      </c>
      <c r="V13" s="1">
        <v>193.33333333333178</v>
      </c>
      <c r="W13" s="1">
        <v>186.66666666666515</v>
      </c>
      <c r="X13" s="1">
        <v>179.99999999999855</v>
      </c>
      <c r="Y13" s="1">
        <v>173.33333333333195</v>
      </c>
      <c r="Z13" s="1">
        <v>166.66666666666538</v>
      </c>
      <c r="AA13" s="1">
        <v>159.99999999999881</v>
      </c>
      <c r="AB13" s="1">
        <v>153.33333333333223</v>
      </c>
      <c r="AC13" s="1">
        <v>146.66666666666566</v>
      </c>
      <c r="AD13" s="1">
        <v>139.99999999999909</v>
      </c>
      <c r="AE13" s="1">
        <v>133.33333333333252</v>
      </c>
      <c r="AF13" s="1">
        <v>126.66666666666598</v>
      </c>
      <c r="AG13" s="1">
        <v>119.99999999999946</v>
      </c>
      <c r="AH13" s="1">
        <v>113.33333333333296</v>
      </c>
      <c r="AI13" s="1">
        <v>106.66666666666647</v>
      </c>
      <c r="AJ13" s="1">
        <f>C13</f>
        <v>100</v>
      </c>
    </row>
    <row r="15" spans="2:36" x14ac:dyDescent="0.25">
      <c r="E15" t="s">
        <v>16</v>
      </c>
      <c r="G15">
        <f>G18*H15+G19</f>
        <v>293.33333333333297</v>
      </c>
      <c r="H15">
        <f t="shared" ref="H15:AI15" si="1">H18*I15+H19</f>
        <v>286.66666666666606</v>
      </c>
      <c r="I15">
        <f t="shared" si="1"/>
        <v>279.99999999999915</v>
      </c>
      <c r="J15">
        <f t="shared" si="1"/>
        <v>273.33333333333223</v>
      </c>
      <c r="K15">
        <f t="shared" si="1"/>
        <v>266.66666666666538</v>
      </c>
      <c r="L15">
        <f t="shared" si="1"/>
        <v>259.99999999999864</v>
      </c>
      <c r="M15">
        <f t="shared" si="1"/>
        <v>253.33333333333195</v>
      </c>
      <c r="N15">
        <f t="shared" si="1"/>
        <v>246.66666666666526</v>
      </c>
      <c r="O15">
        <f t="shared" si="1"/>
        <v>239.99999999999852</v>
      </c>
      <c r="P15">
        <f t="shared" si="1"/>
        <v>233.33333333333184</v>
      </c>
      <c r="Q15">
        <f t="shared" si="1"/>
        <v>226.66666666666509</v>
      </c>
      <c r="R15">
        <f t="shared" si="1"/>
        <v>219.99999999999841</v>
      </c>
      <c r="S15">
        <f t="shared" si="1"/>
        <v>213.33333333333172</v>
      </c>
      <c r="T15">
        <f t="shared" si="1"/>
        <v>206.66666666666509</v>
      </c>
      <c r="U15">
        <f t="shared" si="1"/>
        <v>199.99999999999841</v>
      </c>
      <c r="V15">
        <f t="shared" si="1"/>
        <v>193.33333333333178</v>
      </c>
      <c r="W15">
        <f t="shared" si="1"/>
        <v>186.66666666666515</v>
      </c>
      <c r="X15">
        <f t="shared" si="1"/>
        <v>179.99999999999855</v>
      </c>
      <c r="Y15">
        <f t="shared" si="1"/>
        <v>173.33333333333195</v>
      </c>
      <c r="Z15">
        <f t="shared" si="1"/>
        <v>166.66666666666538</v>
      </c>
      <c r="AA15">
        <f t="shared" si="1"/>
        <v>159.99999999999881</v>
      </c>
      <c r="AB15">
        <f t="shared" si="1"/>
        <v>153.33333333333223</v>
      </c>
      <c r="AC15">
        <f t="shared" si="1"/>
        <v>146.66666666666566</v>
      </c>
      <c r="AD15">
        <f t="shared" si="1"/>
        <v>139.99999999999909</v>
      </c>
      <c r="AE15">
        <f t="shared" si="1"/>
        <v>133.33333333333252</v>
      </c>
      <c r="AF15">
        <f t="shared" si="1"/>
        <v>126.66666666666598</v>
      </c>
      <c r="AG15">
        <f t="shared" si="1"/>
        <v>119.99999999999946</v>
      </c>
      <c r="AH15">
        <f t="shared" si="1"/>
        <v>113.33333333333296</v>
      </c>
      <c r="AI15">
        <f t="shared" si="1"/>
        <v>106.66666666666647</v>
      </c>
      <c r="AJ15">
        <f>AJ13</f>
        <v>100</v>
      </c>
    </row>
    <row r="16" spans="2:36" x14ac:dyDescent="0.25">
      <c r="E16" t="s">
        <v>11</v>
      </c>
      <c r="F16">
        <v>92000</v>
      </c>
      <c r="G16">
        <f>-$C$10*(G13-F13)/$C$4</f>
        <v>92000.000000000262</v>
      </c>
      <c r="H16">
        <f t="shared" ref="H16:AI16" si="2">-$C$10*(H13-G13)/$C$4</f>
        <v>92000.000000003391</v>
      </c>
      <c r="I16">
        <f t="shared" si="2"/>
        <v>92000.000000003391</v>
      </c>
      <c r="J16">
        <f t="shared" si="2"/>
        <v>92000.000000003391</v>
      </c>
      <c r="K16">
        <f t="shared" si="2"/>
        <v>92000.000000002605</v>
      </c>
      <c r="L16">
        <f t="shared" si="2"/>
        <v>92000.000000001033</v>
      </c>
      <c r="M16">
        <f t="shared" si="2"/>
        <v>92000.000000000262</v>
      </c>
      <c r="N16">
        <f t="shared" si="2"/>
        <v>92000.000000000262</v>
      </c>
      <c r="O16">
        <f t="shared" si="2"/>
        <v>92000.000000001033</v>
      </c>
      <c r="P16">
        <f t="shared" si="2"/>
        <v>92000.000000000262</v>
      </c>
      <c r="Q16">
        <f t="shared" si="2"/>
        <v>92000.000000001033</v>
      </c>
      <c r="R16">
        <f t="shared" si="2"/>
        <v>92000.000000000262</v>
      </c>
      <c r="S16">
        <f t="shared" si="2"/>
        <v>92000.000000000262</v>
      </c>
      <c r="T16">
        <f t="shared" si="2"/>
        <v>91999.999999999476</v>
      </c>
      <c r="U16">
        <f t="shared" si="2"/>
        <v>92000.000000000262</v>
      </c>
      <c r="V16">
        <f t="shared" si="2"/>
        <v>91999.999999999476</v>
      </c>
      <c r="W16">
        <f t="shared" si="2"/>
        <v>91999.999999999476</v>
      </c>
      <c r="X16">
        <f t="shared" si="2"/>
        <v>91999.999999999083</v>
      </c>
      <c r="Y16">
        <f t="shared" si="2"/>
        <v>91999.999999999083</v>
      </c>
      <c r="Z16">
        <f t="shared" si="2"/>
        <v>91999.99999999869</v>
      </c>
      <c r="AA16">
        <f t="shared" si="2"/>
        <v>91999.99999999869</v>
      </c>
      <c r="AB16">
        <f t="shared" si="2"/>
        <v>91999.99999999869</v>
      </c>
      <c r="AC16">
        <f t="shared" si="2"/>
        <v>91999.99999999869</v>
      </c>
      <c r="AD16">
        <f t="shared" si="2"/>
        <v>91999.99999999869</v>
      </c>
      <c r="AE16">
        <f t="shared" si="2"/>
        <v>91999.99999999869</v>
      </c>
      <c r="AF16">
        <f t="shared" si="2"/>
        <v>91999.999999998297</v>
      </c>
      <c r="AG16">
        <f t="shared" si="2"/>
        <v>91999.999999997905</v>
      </c>
      <c r="AH16">
        <f t="shared" si="2"/>
        <v>91999.999999997701</v>
      </c>
      <c r="AI16">
        <f t="shared" si="2"/>
        <v>91999.999999997512</v>
      </c>
    </row>
    <row r="17" spans="1:35" x14ac:dyDescent="0.25">
      <c r="A17" s="11"/>
      <c r="B17" s="10" t="s">
        <v>17</v>
      </c>
      <c r="C17" s="10">
        <v>4140000</v>
      </c>
      <c r="E17" t="s">
        <v>20</v>
      </c>
      <c r="F17">
        <f>-(($C$9*$C$8)/$C$5)*F13</f>
        <v>-1076399999.9999988</v>
      </c>
      <c r="G17">
        <f t="shared" ref="G17:AI17" si="3">-(($C$9*$C$8)/$C$5)*G13</f>
        <v>-1052479999.9999987</v>
      </c>
      <c r="H17">
        <f t="shared" si="3"/>
        <v>-1028559999.9999979</v>
      </c>
      <c r="I17">
        <f t="shared" si="3"/>
        <v>-1004639999.9999969</v>
      </c>
      <c r="J17">
        <f t="shared" si="3"/>
        <v>-980719999.99999607</v>
      </c>
      <c r="K17">
        <f t="shared" si="3"/>
        <v>-956799999.99999535</v>
      </c>
      <c r="L17">
        <f t="shared" si="3"/>
        <v>-932879999.99999511</v>
      </c>
      <c r="M17">
        <f t="shared" si="3"/>
        <v>-908959999.99999499</v>
      </c>
      <c r="N17">
        <f t="shared" si="3"/>
        <v>-885039999.99999499</v>
      </c>
      <c r="O17">
        <f t="shared" si="3"/>
        <v>-861119999.99999475</v>
      </c>
      <c r="P17">
        <f t="shared" si="3"/>
        <v>-837199999.99999464</v>
      </c>
      <c r="Q17">
        <f t="shared" si="3"/>
        <v>-813279999.9999944</v>
      </c>
      <c r="R17">
        <f t="shared" si="3"/>
        <v>-789359999.99999428</v>
      </c>
      <c r="S17">
        <f t="shared" si="3"/>
        <v>-765439999.99999428</v>
      </c>
      <c r="T17">
        <f t="shared" si="3"/>
        <v>-741519999.9999944</v>
      </c>
      <c r="U17">
        <f t="shared" si="3"/>
        <v>-717599999.99999428</v>
      </c>
      <c r="V17">
        <f t="shared" si="3"/>
        <v>-693679999.9999944</v>
      </c>
      <c r="W17">
        <f t="shared" si="3"/>
        <v>-669759999.99999452</v>
      </c>
      <c r="X17">
        <f t="shared" si="3"/>
        <v>-645839999.99999475</v>
      </c>
      <c r="Y17">
        <f t="shared" si="3"/>
        <v>-621919999.99999499</v>
      </c>
      <c r="Z17">
        <f t="shared" si="3"/>
        <v>-597999999.99999535</v>
      </c>
      <c r="AA17">
        <f t="shared" si="3"/>
        <v>-574079999.99999571</v>
      </c>
      <c r="AB17">
        <f t="shared" si="3"/>
        <v>-550159999.99999607</v>
      </c>
      <c r="AC17">
        <f t="shared" si="3"/>
        <v>-526239999.99999642</v>
      </c>
      <c r="AD17">
        <f t="shared" si="3"/>
        <v>-502319999.99999672</v>
      </c>
      <c r="AE17">
        <f t="shared" si="3"/>
        <v>-478399999.99999708</v>
      </c>
      <c r="AF17">
        <f t="shared" si="3"/>
        <v>-454479999.9999975</v>
      </c>
      <c r="AG17">
        <f t="shared" si="3"/>
        <v>-430559999.99999803</v>
      </c>
      <c r="AH17">
        <f t="shared" si="3"/>
        <v>-406639999.99999863</v>
      </c>
      <c r="AI17">
        <f t="shared" si="3"/>
        <v>-382719999.99999928</v>
      </c>
    </row>
    <row r="18" spans="1:35" x14ac:dyDescent="0.25">
      <c r="A18" s="11"/>
      <c r="B18" s="10" t="s">
        <v>18</v>
      </c>
      <c r="C18" s="10">
        <v>11868000</v>
      </c>
      <c r="E18" t="s">
        <v>21</v>
      </c>
      <c r="F18">
        <v>0</v>
      </c>
      <c r="G18">
        <f>$C$17/($C$18-$C$19*F18)</f>
        <v>0.34883720930232559</v>
      </c>
      <c r="H18">
        <f t="shared" ref="H18:AI18" si="4">$C$17/($C$18-$C$19*G18)</f>
        <v>0.39716748768472904</v>
      </c>
      <c r="I18">
        <f t="shared" si="4"/>
        <v>0.40494040593779612</v>
      </c>
      <c r="J18">
        <f t="shared" si="4"/>
        <v>0.40621900816215001</v>
      </c>
      <c r="K18">
        <f t="shared" si="4"/>
        <v>0.40643010492156106</v>
      </c>
      <c r="L18">
        <f t="shared" si="4"/>
        <v>0.40646497802255072</v>
      </c>
      <c r="M18">
        <f t="shared" si="4"/>
        <v>0.40647073962099717</v>
      </c>
      <c r="N18">
        <f t="shared" si="4"/>
        <v>0.40647169154566148</v>
      </c>
      <c r="O18">
        <f t="shared" si="4"/>
        <v>0.40647184882198811</v>
      </c>
      <c r="P18">
        <f t="shared" si="4"/>
        <v>0.40647187480708441</v>
      </c>
      <c r="Q18">
        <f t="shared" si="4"/>
        <v>0.40647187910032606</v>
      </c>
      <c r="R18">
        <f t="shared" si="4"/>
        <v>0.40647187980965288</v>
      </c>
      <c r="S18">
        <f t="shared" si="4"/>
        <v>0.40647187992684741</v>
      </c>
      <c r="T18">
        <f t="shared" si="4"/>
        <v>0.4064718799462102</v>
      </c>
      <c r="U18">
        <f t="shared" si="4"/>
        <v>0.40647187994940931</v>
      </c>
      <c r="V18">
        <f t="shared" si="4"/>
        <v>0.40647187994993789</v>
      </c>
      <c r="W18">
        <f t="shared" si="4"/>
        <v>0.40647187995002521</v>
      </c>
      <c r="X18">
        <f t="shared" si="4"/>
        <v>0.40647187995003964</v>
      </c>
      <c r="Y18">
        <f t="shared" si="4"/>
        <v>0.40647187995004203</v>
      </c>
      <c r="Z18">
        <f t="shared" si="4"/>
        <v>0.40647187995004241</v>
      </c>
      <c r="AA18">
        <f t="shared" si="4"/>
        <v>0.40647187995004247</v>
      </c>
      <c r="AB18">
        <f t="shared" si="4"/>
        <v>0.40647187995004247</v>
      </c>
      <c r="AC18">
        <f t="shared" si="4"/>
        <v>0.40647187995004247</v>
      </c>
      <c r="AD18">
        <f t="shared" si="4"/>
        <v>0.40647187995004247</v>
      </c>
      <c r="AE18">
        <f t="shared" si="4"/>
        <v>0.40647187995004247</v>
      </c>
      <c r="AF18">
        <f t="shared" si="4"/>
        <v>0.40647187995004247</v>
      </c>
      <c r="AG18">
        <f t="shared" si="4"/>
        <v>0.40647187995004247</v>
      </c>
      <c r="AH18">
        <f t="shared" si="4"/>
        <v>0.40647187995004247</v>
      </c>
      <c r="AI18">
        <f t="shared" si="4"/>
        <v>0.40647187995004247</v>
      </c>
    </row>
    <row r="19" spans="1:35" x14ac:dyDescent="0.25">
      <c r="A19" s="11"/>
      <c r="B19" s="10" t="s">
        <v>19</v>
      </c>
      <c r="C19" s="10">
        <v>4140000</v>
      </c>
      <c r="E19" t="s">
        <v>22</v>
      </c>
      <c r="F19">
        <v>300</v>
      </c>
      <c r="G19">
        <f>(F19*$C$19-G17)/($C$18-$C$19*F18)</f>
        <v>193.3333333333332</v>
      </c>
      <c r="H19">
        <f t="shared" ref="H19:AI19" si="5">(G19*$C$19-H17)/($C$18-$C$19*G18)</f>
        <v>175.45977011494224</v>
      </c>
      <c r="I19">
        <f t="shared" si="5"/>
        <v>169.31628904366866</v>
      </c>
      <c r="J19">
        <f t="shared" si="5"/>
        <v>165.00826449009278</v>
      </c>
      <c r="K19">
        <f t="shared" si="5"/>
        <v>160.99483938706007</v>
      </c>
      <c r="L19">
        <f t="shared" si="5"/>
        <v>157.02887223428638</v>
      </c>
      <c r="M19">
        <f t="shared" si="5"/>
        <v>153.07055089348657</v>
      </c>
      <c r="N19">
        <f t="shared" si="5"/>
        <v>149.11346069570712</v>
      </c>
      <c r="O19">
        <f t="shared" si="5"/>
        <v>145.15656860820192</v>
      </c>
      <c r="P19">
        <f t="shared" si="5"/>
        <v>141.19970837706001</v>
      </c>
      <c r="Q19">
        <f t="shared" si="5"/>
        <v>137.242853264594</v>
      </c>
      <c r="R19">
        <f t="shared" si="5"/>
        <v>133.28599897393977</v>
      </c>
      <c r="S19">
        <f t="shared" si="5"/>
        <v>129.32914481511725</v>
      </c>
      <c r="T19">
        <f t="shared" si="5"/>
        <v>125.37229067742369</v>
      </c>
      <c r="U19">
        <f t="shared" si="5"/>
        <v>121.41543654311326</v>
      </c>
      <c r="V19">
        <f t="shared" si="5"/>
        <v>117.45858240934399</v>
      </c>
      <c r="W19">
        <f t="shared" si="5"/>
        <v>113.50172827566122</v>
      </c>
      <c r="X19">
        <f t="shared" si="5"/>
        <v>109.54487414199224</v>
      </c>
      <c r="Y19">
        <f t="shared" si="5"/>
        <v>105.58802000832549</v>
      </c>
      <c r="Z19">
        <f t="shared" si="5"/>
        <v>101.63116587465909</v>
      </c>
      <c r="AA19">
        <f t="shared" si="5"/>
        <v>97.674311740992749</v>
      </c>
      <c r="AB19">
        <f t="shared" si="5"/>
        <v>93.717457607326423</v>
      </c>
      <c r="AC19">
        <f t="shared" si="5"/>
        <v>89.760603473660083</v>
      </c>
      <c r="AD19">
        <f t="shared" si="5"/>
        <v>85.803749339993757</v>
      </c>
      <c r="AE19">
        <f t="shared" si="5"/>
        <v>81.846895206327432</v>
      </c>
      <c r="AF19">
        <f t="shared" si="5"/>
        <v>77.890041072661106</v>
      </c>
      <c r="AG19">
        <f t="shared" si="5"/>
        <v>73.933186938994808</v>
      </c>
      <c r="AH19">
        <f t="shared" si="5"/>
        <v>69.976332805328511</v>
      </c>
      <c r="AI19">
        <f t="shared" si="5"/>
        <v>66.019478671662227</v>
      </c>
    </row>
    <row r="21" spans="1:35" x14ac:dyDescent="0.25">
      <c r="B21" s="10" t="s">
        <v>12</v>
      </c>
      <c r="C21" s="10">
        <v>92000</v>
      </c>
    </row>
    <row r="22" spans="1:35" x14ac:dyDescent="0.25">
      <c r="B22" s="10" t="s">
        <v>9</v>
      </c>
      <c r="C22" s="10">
        <v>100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1-го рода</vt:lpstr>
      <vt:lpstr>2-го рода</vt:lpstr>
      <vt:lpstr>3-го рода</vt:lpstr>
      <vt:lpstr>4-го рода</vt:lpstr>
      <vt:lpstr>Неявн 1-го рода</vt:lpstr>
      <vt:lpstr>Неяв 2-го рода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2021-05-21T19:34:50Z</dcterms:created>
  <dcterms:modified xsi:type="dcterms:W3CDTF">2021-05-22T08:49:27Z</dcterms:modified>
</cp:coreProperties>
</file>